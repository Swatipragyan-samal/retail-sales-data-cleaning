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2227a81a4f6747/Desktop/"/>
    </mc:Choice>
  </mc:AlternateContent>
  <xr:revisionPtr revIDLastSave="192" documentId="8_{41645160-7E16-4368-BD61-3F1C96B7C386}" xr6:coauthVersionLast="47" xr6:coauthVersionMax="47" xr10:uidLastSave="{A83F0E8D-6070-4A52-B463-C15CB7B4EC73}"/>
  <bookViews>
    <workbookView xWindow="-108" yWindow="-108" windowWidth="23256" windowHeight="12456" xr2:uid="{F0DDD2D4-662A-4499-B628-BE0AD5B72CF4}"/>
  </bookViews>
  <sheets>
    <sheet name="Raw Data" sheetId="1" r:id="rId1"/>
    <sheet name="Reference Table" sheetId="2" r:id="rId2"/>
    <sheet name="Cleaned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16" i="3" l="1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D616" i="3" a="1"/>
  <c r="D616" i="3" s="1"/>
  <c r="D615" i="3" a="1"/>
  <c r="D615" i="3" s="1"/>
  <c r="D614" i="3" a="1"/>
  <c r="D614" i="3" s="1"/>
  <c r="D613" i="3" a="1"/>
  <c r="D613" i="3" s="1"/>
  <c r="D612" i="3" a="1"/>
  <c r="D612" i="3" s="1"/>
  <c r="D611" i="3" a="1"/>
  <c r="D611" i="3" s="1"/>
  <c r="D610" i="3" a="1"/>
  <c r="D610" i="3" s="1"/>
  <c r="D609" i="3" a="1"/>
  <c r="D609" i="3" s="1"/>
  <c r="D608" i="3" a="1"/>
  <c r="D608" i="3" s="1"/>
  <c r="D607" i="3"/>
  <c r="D607" i="3" a="1"/>
  <c r="D606" i="3" a="1"/>
  <c r="D606" i="3" s="1"/>
  <c r="I606" i="3" s="1"/>
  <c r="D605" i="3" a="1"/>
  <c r="D605" i="3" s="1"/>
  <c r="D604" i="3" a="1"/>
  <c r="D604" i="3" s="1"/>
  <c r="D603" i="3" a="1"/>
  <c r="D603" i="3" s="1"/>
  <c r="D602" i="3" a="1"/>
  <c r="D602" i="3" s="1"/>
  <c r="D601" i="3" a="1"/>
  <c r="D601" i="3" s="1"/>
  <c r="D600" i="3" a="1"/>
  <c r="D600" i="3" s="1"/>
  <c r="D599" i="3"/>
  <c r="D599" i="3" a="1"/>
  <c r="D598" i="3"/>
  <c r="D598" i="3" a="1"/>
  <c r="D597" i="3" a="1"/>
  <c r="D597" i="3" s="1"/>
  <c r="D596" i="3" a="1"/>
  <c r="D596" i="3" s="1"/>
  <c r="D595" i="3"/>
  <c r="D595" i="3" a="1"/>
  <c r="D594" i="3"/>
  <c r="D594" i="3" a="1"/>
  <c r="D593" i="3" a="1"/>
  <c r="D593" i="3" s="1"/>
  <c r="D592" i="3" a="1"/>
  <c r="D592" i="3" s="1"/>
  <c r="D591" i="3" a="1"/>
  <c r="D591" i="3" s="1"/>
  <c r="I591" i="3" s="1"/>
  <c r="D590" i="3"/>
  <c r="D590" i="3" a="1"/>
  <c r="D589" i="3"/>
  <c r="D589" i="3" a="1"/>
  <c r="D588" i="3" a="1"/>
  <c r="D588" i="3" s="1"/>
  <c r="D587" i="3"/>
  <c r="D587" i="3" a="1"/>
  <c r="D586" i="3" a="1"/>
  <c r="D586" i="3" s="1"/>
  <c r="D585" i="3" a="1"/>
  <c r="D585" i="3" s="1"/>
  <c r="D584" i="3" a="1"/>
  <c r="D584" i="3" s="1"/>
  <c r="D583" i="3" a="1"/>
  <c r="D583" i="3" s="1"/>
  <c r="D582" i="3" a="1"/>
  <c r="D582" i="3" s="1"/>
  <c r="D581" i="3" a="1"/>
  <c r="D581" i="3" s="1"/>
  <c r="D580" i="3" a="1"/>
  <c r="D580" i="3" s="1"/>
  <c r="D579" i="3" a="1"/>
  <c r="D579" i="3" s="1"/>
  <c r="D578" i="3" a="1"/>
  <c r="D578" i="3" s="1"/>
  <c r="D577" i="3" a="1"/>
  <c r="D577" i="3" s="1"/>
  <c r="D576" i="3" a="1"/>
  <c r="D576" i="3" s="1"/>
  <c r="D575" i="3"/>
  <c r="D575" i="3" a="1"/>
  <c r="D574" i="3" a="1"/>
  <c r="D574" i="3" s="1"/>
  <c r="D573" i="3" a="1"/>
  <c r="D573" i="3" s="1"/>
  <c r="D572" i="3" a="1"/>
  <c r="D572" i="3" s="1"/>
  <c r="D571" i="3" a="1"/>
  <c r="D571" i="3" s="1"/>
  <c r="D570" i="3" a="1"/>
  <c r="D570" i="3" s="1"/>
  <c r="D569" i="3" a="1"/>
  <c r="D569" i="3" s="1"/>
  <c r="D568" i="3" a="1"/>
  <c r="D568" i="3" s="1"/>
  <c r="D567" i="3" a="1"/>
  <c r="D567" i="3" s="1"/>
  <c r="D566" i="3"/>
  <c r="I566" i="3" s="1"/>
  <c r="D566" i="3" a="1"/>
  <c r="D565" i="3" a="1"/>
  <c r="D565" i="3" s="1"/>
  <c r="D564" i="3" a="1"/>
  <c r="D564" i="3" s="1"/>
  <c r="D563" i="3"/>
  <c r="D563" i="3" a="1"/>
  <c r="D562" i="3" a="1"/>
  <c r="D562" i="3" s="1"/>
  <c r="D561" i="3" a="1"/>
  <c r="D561" i="3" s="1"/>
  <c r="D560" i="3" a="1"/>
  <c r="D560" i="3" s="1"/>
  <c r="D559" i="3"/>
  <c r="D559" i="3" a="1"/>
  <c r="D558" i="3"/>
  <c r="D558" i="3" a="1"/>
  <c r="D557" i="3"/>
  <c r="D557" i="3" a="1"/>
  <c r="D556" i="3" a="1"/>
  <c r="D556" i="3" s="1"/>
  <c r="D555" i="3" a="1"/>
  <c r="D555" i="3" s="1"/>
  <c r="D554" i="3" a="1"/>
  <c r="D554" i="3" s="1"/>
  <c r="D553" i="3" a="1"/>
  <c r="D553" i="3" s="1"/>
  <c r="D552" i="3" a="1"/>
  <c r="D552" i="3" s="1"/>
  <c r="D551" i="3" a="1"/>
  <c r="D551" i="3" s="1"/>
  <c r="D550" i="3" a="1"/>
  <c r="D550" i="3" s="1"/>
  <c r="D549" i="3" a="1"/>
  <c r="D549" i="3" s="1"/>
  <c r="D548" i="3" a="1"/>
  <c r="D548" i="3" s="1"/>
  <c r="D547" i="3" a="1"/>
  <c r="D547" i="3" s="1"/>
  <c r="D546" i="3" a="1"/>
  <c r="D546" i="3" s="1"/>
  <c r="D545" i="3" a="1"/>
  <c r="D545" i="3" s="1"/>
  <c r="D544" i="3" a="1"/>
  <c r="D544" i="3" s="1"/>
  <c r="D543" i="3"/>
  <c r="D543" i="3" a="1"/>
  <c r="D542" i="3" a="1"/>
  <c r="D542" i="3" s="1"/>
  <c r="D541" i="3" a="1"/>
  <c r="D541" i="3" s="1"/>
  <c r="D540" i="3" a="1"/>
  <c r="D540" i="3" s="1"/>
  <c r="D539" i="3"/>
  <c r="D539" i="3" a="1"/>
  <c r="D538" i="3" a="1"/>
  <c r="D538" i="3" s="1"/>
  <c r="D537" i="3" a="1"/>
  <c r="D537" i="3" s="1"/>
  <c r="D536" i="3" a="1"/>
  <c r="D536" i="3" s="1"/>
  <c r="D535" i="3" a="1"/>
  <c r="D535" i="3" s="1"/>
  <c r="D534" i="3"/>
  <c r="D534" i="3" a="1"/>
  <c r="D533" i="3" a="1"/>
  <c r="D533" i="3" s="1"/>
  <c r="D532" i="3" a="1"/>
  <c r="D532" i="3" s="1"/>
  <c r="D531" i="3" a="1"/>
  <c r="D531" i="3" s="1"/>
  <c r="D530" i="3" a="1"/>
  <c r="D530" i="3" s="1"/>
  <c r="D529" i="3" a="1"/>
  <c r="D529" i="3" s="1"/>
  <c r="D528" i="3" a="1"/>
  <c r="D528" i="3" s="1"/>
  <c r="D527" i="3"/>
  <c r="D527" i="3" a="1"/>
  <c r="D526" i="3" a="1"/>
  <c r="D526" i="3" s="1"/>
  <c r="E526" i="3" s="1"/>
  <c r="D525" i="3"/>
  <c r="D525" i="3" a="1"/>
  <c r="D524" i="3" a="1"/>
  <c r="D524" i="3" s="1"/>
  <c r="D523" i="3" a="1"/>
  <c r="D523" i="3" s="1"/>
  <c r="D522" i="3" a="1"/>
  <c r="D522" i="3" s="1"/>
  <c r="D521" i="3" a="1"/>
  <c r="D521" i="3" s="1"/>
  <c r="D520" i="3" a="1"/>
  <c r="D520" i="3" s="1"/>
  <c r="D519" i="3" a="1"/>
  <c r="D519" i="3" s="1"/>
  <c r="D518" i="3" a="1"/>
  <c r="D518" i="3" s="1"/>
  <c r="D517" i="3" a="1"/>
  <c r="D517" i="3" s="1"/>
  <c r="D516" i="3" a="1"/>
  <c r="D516" i="3" s="1"/>
  <c r="D515" i="3" a="1"/>
  <c r="D515" i="3" s="1"/>
  <c r="D514" i="3" a="1"/>
  <c r="D514" i="3" s="1"/>
  <c r="E514" i="3" s="1"/>
  <c r="D513" i="3" a="1"/>
  <c r="D513" i="3" s="1"/>
  <c r="D512" i="3" a="1"/>
  <c r="D512" i="3" s="1"/>
  <c r="D511" i="3"/>
  <c r="D511" i="3" a="1"/>
  <c r="D510" i="3" a="1"/>
  <c r="D510" i="3" s="1"/>
  <c r="D509" i="3" a="1"/>
  <c r="D509" i="3" s="1"/>
  <c r="D508" i="3" a="1"/>
  <c r="D508" i="3" s="1"/>
  <c r="D507" i="3"/>
  <c r="D507" i="3" a="1"/>
  <c r="D506" i="3" a="1"/>
  <c r="D506" i="3" s="1"/>
  <c r="D505" i="3" a="1"/>
  <c r="D505" i="3" s="1"/>
  <c r="D504" i="3" a="1"/>
  <c r="D504" i="3" s="1"/>
  <c r="D503" i="3"/>
  <c r="D503" i="3" a="1"/>
  <c r="D502" i="3"/>
  <c r="D502" i="3" a="1"/>
  <c r="D501" i="3" a="1"/>
  <c r="D501" i="3" s="1"/>
  <c r="D500" i="3" a="1"/>
  <c r="D500" i="3" s="1"/>
  <c r="D499" i="3"/>
  <c r="D499" i="3" a="1"/>
  <c r="D498" i="3"/>
  <c r="D498" i="3" a="1"/>
  <c r="D497" i="3" a="1"/>
  <c r="D497" i="3" s="1"/>
  <c r="D496" i="3" a="1"/>
  <c r="D496" i="3" s="1"/>
  <c r="D495" i="3" a="1"/>
  <c r="D495" i="3" s="1"/>
  <c r="D494" i="3" a="1"/>
  <c r="D494" i="3" s="1"/>
  <c r="D493" i="3"/>
  <c r="D493" i="3" a="1"/>
  <c r="D492" i="3" a="1"/>
  <c r="D492" i="3" s="1"/>
  <c r="D491" i="3" a="1"/>
  <c r="D491" i="3" s="1"/>
  <c r="D490" i="3" a="1"/>
  <c r="D490" i="3" s="1"/>
  <c r="D489" i="3" a="1"/>
  <c r="D489" i="3" s="1"/>
  <c r="D488" i="3" a="1"/>
  <c r="D488" i="3" s="1"/>
  <c r="D487" i="3" a="1"/>
  <c r="D487" i="3" s="1"/>
  <c r="D486" i="3" a="1"/>
  <c r="D486" i="3" s="1"/>
  <c r="D485" i="3" a="1"/>
  <c r="D485" i="3" s="1"/>
  <c r="D484" i="3" a="1"/>
  <c r="D484" i="3" s="1"/>
  <c r="D483" i="3" a="1"/>
  <c r="D483" i="3" s="1"/>
  <c r="D482" i="3" a="1"/>
  <c r="D482" i="3" s="1"/>
  <c r="D481" i="3" a="1"/>
  <c r="D481" i="3" s="1"/>
  <c r="D480" i="3" a="1"/>
  <c r="D480" i="3" s="1"/>
  <c r="D479" i="3"/>
  <c r="D479" i="3" a="1"/>
  <c r="D478" i="3" a="1"/>
  <c r="D478" i="3" s="1"/>
  <c r="D477" i="3" a="1"/>
  <c r="D477" i="3" s="1"/>
  <c r="D476" i="3" a="1"/>
  <c r="D476" i="3" s="1"/>
  <c r="D475" i="3" a="1"/>
  <c r="D475" i="3" s="1"/>
  <c r="D474" i="3" a="1"/>
  <c r="D474" i="3" s="1"/>
  <c r="D473" i="3" a="1"/>
  <c r="D473" i="3" s="1"/>
  <c r="D472" i="3" a="1"/>
  <c r="D472" i="3" s="1"/>
  <c r="D471" i="3"/>
  <c r="D471" i="3" a="1"/>
  <c r="D470" i="3"/>
  <c r="D470" i="3" a="1"/>
  <c r="D469" i="3" a="1"/>
  <c r="D469" i="3" s="1"/>
  <c r="D468" i="3" a="1"/>
  <c r="D468" i="3" s="1"/>
  <c r="D467" i="3"/>
  <c r="D467" i="3" a="1"/>
  <c r="D466" i="3"/>
  <c r="D466" i="3" a="1"/>
  <c r="D465" i="3" a="1"/>
  <c r="D465" i="3" s="1"/>
  <c r="D464" i="3" a="1"/>
  <c r="D464" i="3" s="1"/>
  <c r="D463" i="3" a="1"/>
  <c r="D463" i="3" s="1"/>
  <c r="D462" i="3"/>
  <c r="D462" i="3" a="1"/>
  <c r="D461" i="3"/>
  <c r="D461" i="3" a="1"/>
  <c r="D460" i="3" a="1"/>
  <c r="D460" i="3" s="1"/>
  <c r="D459" i="3"/>
  <c r="D459" i="3" a="1"/>
  <c r="D458" i="3" a="1"/>
  <c r="D458" i="3" s="1"/>
  <c r="D457" i="3" a="1"/>
  <c r="D457" i="3" s="1"/>
  <c r="D456" i="3" a="1"/>
  <c r="D456" i="3" s="1"/>
  <c r="D455" i="3" a="1"/>
  <c r="D455" i="3" s="1"/>
  <c r="D454" i="3" a="1"/>
  <c r="D454" i="3" s="1"/>
  <c r="D453" i="3" a="1"/>
  <c r="D453" i="3" s="1"/>
  <c r="D452" i="3" a="1"/>
  <c r="D452" i="3" s="1"/>
  <c r="D451" i="3" a="1"/>
  <c r="D451" i="3" s="1"/>
  <c r="D450" i="3" a="1"/>
  <c r="D450" i="3" s="1"/>
  <c r="D449" i="3" a="1"/>
  <c r="D449" i="3" s="1"/>
  <c r="D448" i="3" a="1"/>
  <c r="D448" i="3" s="1"/>
  <c r="D447" i="3"/>
  <c r="D447" i="3" a="1"/>
  <c r="D446" i="3" a="1"/>
  <c r="D446" i="3" s="1"/>
  <c r="D445" i="3" a="1"/>
  <c r="D445" i="3" s="1"/>
  <c r="D444" i="3" a="1"/>
  <c r="D444" i="3" s="1"/>
  <c r="D443" i="3" a="1"/>
  <c r="D443" i="3" s="1"/>
  <c r="D442" i="3" a="1"/>
  <c r="D442" i="3" s="1"/>
  <c r="D441" i="3" a="1"/>
  <c r="D441" i="3" s="1"/>
  <c r="D440" i="3" a="1"/>
  <c r="D440" i="3" s="1"/>
  <c r="D439" i="3" a="1"/>
  <c r="D439" i="3" s="1"/>
  <c r="D438" i="3"/>
  <c r="D438" i="3" a="1"/>
  <c r="D437" i="3" a="1"/>
  <c r="D437" i="3" s="1"/>
  <c r="D436" i="3" a="1"/>
  <c r="D436" i="3" s="1"/>
  <c r="D435" i="3"/>
  <c r="D435" i="3" a="1"/>
  <c r="D434" i="3" a="1"/>
  <c r="D434" i="3" s="1"/>
  <c r="D433" i="3" a="1"/>
  <c r="D433" i="3" s="1"/>
  <c r="D432" i="3" a="1"/>
  <c r="D432" i="3" s="1"/>
  <c r="D431" i="3"/>
  <c r="D431" i="3" a="1"/>
  <c r="D430" i="3"/>
  <c r="D430" i="3" a="1"/>
  <c r="D429" i="3"/>
  <c r="D429" i="3" a="1"/>
  <c r="D428" i="3" a="1"/>
  <c r="D428" i="3" s="1"/>
  <c r="D427" i="3" a="1"/>
  <c r="D427" i="3" s="1"/>
  <c r="D426" i="3" a="1"/>
  <c r="D426" i="3" s="1"/>
  <c r="D425" i="3" a="1"/>
  <c r="D425" i="3" s="1"/>
  <c r="D424" i="3" a="1"/>
  <c r="D424" i="3" s="1"/>
  <c r="D423" i="3" a="1"/>
  <c r="D423" i="3" s="1"/>
  <c r="D422" i="3" a="1"/>
  <c r="D422" i="3" s="1"/>
  <c r="D421" i="3" a="1"/>
  <c r="D421" i="3" s="1"/>
  <c r="E421" i="3" s="1"/>
  <c r="D420" i="3" a="1"/>
  <c r="D420" i="3" s="1"/>
  <c r="D419" i="3" a="1"/>
  <c r="D419" i="3" s="1"/>
  <c r="D418" i="3" a="1"/>
  <c r="D418" i="3" s="1"/>
  <c r="D417" i="3" a="1"/>
  <c r="D417" i="3" s="1"/>
  <c r="D416" i="3" a="1"/>
  <c r="D416" i="3" s="1"/>
  <c r="D415" i="3"/>
  <c r="D415" i="3" a="1"/>
  <c r="D414" i="3" a="1"/>
  <c r="D414" i="3" s="1"/>
  <c r="D413" i="3" a="1"/>
  <c r="D413" i="3" s="1"/>
  <c r="D412" i="3" a="1"/>
  <c r="D412" i="3" s="1"/>
  <c r="D411" i="3"/>
  <c r="D411" i="3" a="1"/>
  <c r="D410" i="3" a="1"/>
  <c r="D410" i="3" s="1"/>
  <c r="D409" i="3" a="1"/>
  <c r="D409" i="3" s="1"/>
  <c r="D408" i="3" a="1"/>
  <c r="D408" i="3" s="1"/>
  <c r="D407" i="3" a="1"/>
  <c r="D407" i="3" s="1"/>
  <c r="D406" i="3"/>
  <c r="D406" i="3" a="1"/>
  <c r="D405" i="3" a="1"/>
  <c r="D405" i="3" s="1"/>
  <c r="D404" i="3" a="1"/>
  <c r="D404" i="3" s="1"/>
  <c r="D403" i="3" a="1"/>
  <c r="D403" i="3" s="1"/>
  <c r="D402" i="3" a="1"/>
  <c r="D402" i="3" s="1"/>
  <c r="D401" i="3" a="1"/>
  <c r="D401" i="3" s="1"/>
  <c r="I401" i="3" s="1"/>
  <c r="D400" i="3" a="1"/>
  <c r="D400" i="3" s="1"/>
  <c r="D399" i="3"/>
  <c r="D399" i="3" a="1"/>
  <c r="D398" i="3" a="1"/>
  <c r="D398" i="3" s="1"/>
  <c r="D397" i="3"/>
  <c r="D397" i="3" a="1"/>
  <c r="D396" i="3" a="1"/>
  <c r="D396" i="3" s="1"/>
  <c r="D395" i="3" a="1"/>
  <c r="D395" i="3" s="1"/>
  <c r="D394" i="3" a="1"/>
  <c r="D394" i="3" s="1"/>
  <c r="D393" i="3" a="1"/>
  <c r="D393" i="3" s="1"/>
  <c r="D392" i="3" a="1"/>
  <c r="D392" i="3" s="1"/>
  <c r="D391" i="3" a="1"/>
  <c r="D391" i="3" s="1"/>
  <c r="D390" i="3" a="1"/>
  <c r="D390" i="3" s="1"/>
  <c r="D389" i="3" a="1"/>
  <c r="D389" i="3" s="1"/>
  <c r="D388" i="3" a="1"/>
  <c r="D388" i="3" s="1"/>
  <c r="D387" i="3" a="1"/>
  <c r="D387" i="3" s="1"/>
  <c r="D386" i="3" a="1"/>
  <c r="D386" i="3" s="1"/>
  <c r="D385" i="3" a="1"/>
  <c r="D385" i="3" s="1"/>
  <c r="D384" i="3" a="1"/>
  <c r="D384" i="3" s="1"/>
  <c r="D383" i="3"/>
  <c r="D383" i="3" a="1"/>
  <c r="D382" i="3" a="1"/>
  <c r="D382" i="3" s="1"/>
  <c r="D381" i="3" a="1"/>
  <c r="D381" i="3" s="1"/>
  <c r="D380" i="3" a="1"/>
  <c r="D380" i="3" s="1"/>
  <c r="D379" i="3"/>
  <c r="D379" i="3" a="1"/>
  <c r="D378" i="3" a="1"/>
  <c r="D378" i="3" s="1"/>
  <c r="D377" i="3" a="1"/>
  <c r="D377" i="3" s="1"/>
  <c r="D376" i="3" a="1"/>
  <c r="D376" i="3" s="1"/>
  <c r="D375" i="3"/>
  <c r="D375" i="3" a="1"/>
  <c r="D374" i="3"/>
  <c r="D374" i="3" a="1"/>
  <c r="D373" i="3" a="1"/>
  <c r="D373" i="3" s="1"/>
  <c r="D372" i="3" a="1"/>
  <c r="D372" i="3" s="1"/>
  <c r="D371" i="3"/>
  <c r="E371" i="3" s="1"/>
  <c r="D371" i="3" a="1"/>
  <c r="D370" i="3"/>
  <c r="D370" i="3" a="1"/>
  <c r="D369" i="3" a="1"/>
  <c r="D369" i="3" s="1"/>
  <c r="D368" i="3" a="1"/>
  <c r="D368" i="3" s="1"/>
  <c r="D367" i="3" a="1"/>
  <c r="D367" i="3" s="1"/>
  <c r="D366" i="3" a="1"/>
  <c r="D366" i="3" s="1"/>
  <c r="D365" i="3"/>
  <c r="D365" i="3" a="1"/>
  <c r="D364" i="3" a="1"/>
  <c r="D364" i="3" s="1"/>
  <c r="D363" i="3" a="1"/>
  <c r="D363" i="3" s="1"/>
  <c r="D362" i="3" a="1"/>
  <c r="D362" i="3" s="1"/>
  <c r="D361" i="3" a="1"/>
  <c r="D361" i="3" s="1"/>
  <c r="D360" i="3" a="1"/>
  <c r="D360" i="3" s="1"/>
  <c r="D359" i="3" a="1"/>
  <c r="D359" i="3" s="1"/>
  <c r="D358" i="3" a="1"/>
  <c r="D358" i="3" s="1"/>
  <c r="D357" i="3" a="1"/>
  <c r="D357" i="3" s="1"/>
  <c r="D356" i="3" a="1"/>
  <c r="D356" i="3" s="1"/>
  <c r="D355" i="3" a="1"/>
  <c r="D355" i="3" s="1"/>
  <c r="D354" i="3" a="1"/>
  <c r="D354" i="3" s="1"/>
  <c r="D353" i="3" a="1"/>
  <c r="D353" i="3" s="1"/>
  <c r="D352" i="3" a="1"/>
  <c r="D352" i="3" s="1"/>
  <c r="D351" i="3"/>
  <c r="D351" i="3" a="1"/>
  <c r="D350" i="3" a="1"/>
  <c r="D350" i="3" s="1"/>
  <c r="D349" i="3" a="1"/>
  <c r="D349" i="3" s="1"/>
  <c r="D348" i="3" a="1"/>
  <c r="D348" i="3" s="1"/>
  <c r="D347" i="3" a="1"/>
  <c r="D347" i="3" s="1"/>
  <c r="D346" i="3" a="1"/>
  <c r="D346" i="3" s="1"/>
  <c r="D345" i="3" a="1"/>
  <c r="D345" i="3" s="1"/>
  <c r="D344" i="3" a="1"/>
  <c r="D344" i="3" s="1"/>
  <c r="D343" i="3"/>
  <c r="D343" i="3" a="1"/>
  <c r="D342" i="3"/>
  <c r="D342" i="3" a="1"/>
  <c r="D341" i="3" a="1"/>
  <c r="D341" i="3" s="1"/>
  <c r="D340" i="3" a="1"/>
  <c r="D340" i="3" s="1"/>
  <c r="D339" i="3"/>
  <c r="D339" i="3" a="1"/>
  <c r="D338" i="3"/>
  <c r="D338" i="3" a="1"/>
  <c r="D337" i="3" a="1"/>
  <c r="D337" i="3" s="1"/>
  <c r="D336" i="3" a="1"/>
  <c r="D336" i="3" s="1"/>
  <c r="D335" i="3"/>
  <c r="D335" i="3" a="1"/>
  <c r="D334" i="3"/>
  <c r="D334" i="3" a="1"/>
  <c r="D333" i="3"/>
  <c r="D333" i="3" a="1"/>
  <c r="D332" i="3" a="1"/>
  <c r="D332" i="3" s="1"/>
  <c r="D331" i="3"/>
  <c r="D331" i="3" a="1"/>
  <c r="D330" i="3" a="1"/>
  <c r="D330" i="3" s="1"/>
  <c r="D329" i="3" a="1"/>
  <c r="D329" i="3" s="1"/>
  <c r="D328" i="3" a="1"/>
  <c r="D328" i="3" s="1"/>
  <c r="D327" i="3" a="1"/>
  <c r="D327" i="3" s="1"/>
  <c r="I327" i="3" s="1"/>
  <c r="D326" i="3" a="1"/>
  <c r="D326" i="3" s="1"/>
  <c r="I326" i="3" s="1"/>
  <c r="D325" i="3"/>
  <c r="D325" i="3" a="1"/>
  <c r="D324" i="3" a="1"/>
  <c r="D324" i="3" s="1"/>
  <c r="D323" i="3" a="1"/>
  <c r="D323" i="3" s="1"/>
  <c r="D322" i="3" a="1"/>
  <c r="D322" i="3" s="1"/>
  <c r="D321" i="3" a="1"/>
  <c r="D321" i="3" s="1"/>
  <c r="D320" i="3" a="1"/>
  <c r="D320" i="3" s="1"/>
  <c r="D319" i="3"/>
  <c r="D319" i="3" a="1"/>
  <c r="D318" i="3" a="1"/>
  <c r="D318" i="3" s="1"/>
  <c r="D317" i="3" a="1"/>
  <c r="D317" i="3" s="1"/>
  <c r="D316" i="3" a="1"/>
  <c r="D316" i="3" s="1"/>
  <c r="D315" i="3" a="1"/>
  <c r="D315" i="3" s="1"/>
  <c r="D314" i="3" a="1"/>
  <c r="D314" i="3" s="1"/>
  <c r="D313" i="3" a="1"/>
  <c r="D313" i="3" s="1"/>
  <c r="D312" i="3" a="1"/>
  <c r="D312" i="3" s="1"/>
  <c r="D311" i="3" a="1"/>
  <c r="D311" i="3" s="1"/>
  <c r="D310" i="3"/>
  <c r="D310" i="3" a="1"/>
  <c r="D309" i="3" a="1"/>
  <c r="D309" i="3" s="1"/>
  <c r="D308" i="3" a="1"/>
  <c r="D308" i="3" s="1"/>
  <c r="D307" i="3"/>
  <c r="D307" i="3" a="1"/>
  <c r="D306" i="3" a="1"/>
  <c r="D306" i="3" s="1"/>
  <c r="D305" i="3" a="1"/>
  <c r="D305" i="3" s="1"/>
  <c r="D304" i="3" a="1"/>
  <c r="D304" i="3" s="1"/>
  <c r="D303" i="3"/>
  <c r="D303" i="3" a="1"/>
  <c r="D302" i="3"/>
  <c r="D302" i="3" a="1"/>
  <c r="D301" i="3"/>
  <c r="D301" i="3" a="1"/>
  <c r="D300" i="3" a="1"/>
  <c r="D300" i="3" s="1"/>
  <c r="D299" i="3" a="1"/>
  <c r="D299" i="3" s="1"/>
  <c r="D298" i="3" a="1"/>
  <c r="D298" i="3" s="1"/>
  <c r="D297" i="3" a="1"/>
  <c r="D297" i="3" s="1"/>
  <c r="D296" i="3" a="1"/>
  <c r="D296" i="3" s="1"/>
  <c r="D295" i="3" a="1"/>
  <c r="D295" i="3" s="1"/>
  <c r="D294" i="3" a="1"/>
  <c r="D294" i="3" s="1"/>
  <c r="D293" i="3" a="1"/>
  <c r="D293" i="3" s="1"/>
  <c r="D292" i="3" a="1"/>
  <c r="D292" i="3" s="1"/>
  <c r="D291" i="3" a="1"/>
  <c r="D291" i="3" s="1"/>
  <c r="D290" i="3" a="1"/>
  <c r="D290" i="3" s="1"/>
  <c r="D289" i="3"/>
  <c r="D289" i="3" a="1"/>
  <c r="D288" i="3" a="1"/>
  <c r="D288" i="3" s="1"/>
  <c r="D287" i="3"/>
  <c r="D287" i="3" a="1"/>
  <c r="D286" i="3" a="1"/>
  <c r="D286" i="3" s="1"/>
  <c r="D285" i="3" a="1"/>
  <c r="D285" i="3" s="1"/>
  <c r="D284" i="3" a="1"/>
  <c r="D284" i="3" s="1"/>
  <c r="D283" i="3"/>
  <c r="D283" i="3" a="1"/>
  <c r="D282" i="3" a="1"/>
  <c r="D282" i="3" s="1"/>
  <c r="D281" i="3" a="1"/>
  <c r="D281" i="3" s="1"/>
  <c r="D280" i="3" a="1"/>
  <c r="D280" i="3" s="1"/>
  <c r="D279" i="3" a="1"/>
  <c r="D279" i="3" s="1"/>
  <c r="D278" i="3"/>
  <c r="D278" i="3" a="1"/>
  <c r="D277" i="3" a="1"/>
  <c r="D277" i="3" s="1"/>
  <c r="D276" i="3" a="1"/>
  <c r="D276" i="3" s="1"/>
  <c r="D275" i="3" a="1"/>
  <c r="D275" i="3" s="1"/>
  <c r="D274" i="3"/>
  <c r="D274" i="3" a="1"/>
  <c r="D273" i="3" a="1"/>
  <c r="D273" i="3" s="1"/>
  <c r="D272" i="3"/>
  <c r="D272" i="3" a="1"/>
  <c r="D271" i="3" a="1"/>
  <c r="D271" i="3" s="1"/>
  <c r="D270" i="3"/>
  <c r="D270" i="3" a="1"/>
  <c r="D269" i="3" a="1"/>
  <c r="D269" i="3" s="1"/>
  <c r="D268" i="3" a="1"/>
  <c r="D268" i="3" s="1"/>
  <c r="D267" i="3" a="1"/>
  <c r="D267" i="3" s="1"/>
  <c r="D266" i="3"/>
  <c r="D266" i="3" a="1"/>
  <c r="D265" i="3" a="1"/>
  <c r="D265" i="3" s="1"/>
  <c r="D264" i="3"/>
  <c r="D264" i="3" a="1"/>
  <c r="D263" i="3"/>
  <c r="D263" i="3" a="1"/>
  <c r="D262" i="3"/>
  <c r="D262" i="3" a="1"/>
  <c r="D261" i="3" a="1"/>
  <c r="D261" i="3" s="1"/>
  <c r="D260" i="3" a="1"/>
  <c r="D260" i="3" s="1"/>
  <c r="D259" i="3" a="1"/>
  <c r="D259" i="3" s="1"/>
  <c r="D258" i="3"/>
  <c r="D258" i="3" a="1"/>
  <c r="D257" i="3" a="1"/>
  <c r="D257" i="3" s="1"/>
  <c r="D256" i="3" a="1"/>
  <c r="D256" i="3" s="1"/>
  <c r="D255" i="3"/>
  <c r="D255" i="3" a="1"/>
  <c r="D254" i="3"/>
  <c r="D254" i="3" a="1"/>
  <c r="D253" i="3" a="1"/>
  <c r="D253" i="3" s="1"/>
  <c r="D252" i="3" a="1"/>
  <c r="D252" i="3" s="1"/>
  <c r="D251" i="3" a="1"/>
  <c r="D251" i="3" s="1"/>
  <c r="D250" i="3"/>
  <c r="D250" i="3" a="1"/>
  <c r="D249" i="3" a="1"/>
  <c r="D249" i="3" s="1"/>
  <c r="D248" i="3"/>
  <c r="D248" i="3" a="1"/>
  <c r="D247" i="3" a="1"/>
  <c r="D247" i="3" s="1"/>
  <c r="D246" i="3"/>
  <c r="D246" i="3" a="1"/>
  <c r="D245" i="3" a="1"/>
  <c r="D245" i="3" s="1"/>
  <c r="D244" i="3" a="1"/>
  <c r="D244" i="3" s="1"/>
  <c r="D243" i="3"/>
  <c r="D243" i="3" a="1"/>
  <c r="D242" i="3"/>
  <c r="D242" i="3" a="1"/>
  <c r="D241" i="3" a="1"/>
  <c r="D241" i="3" s="1"/>
  <c r="D240" i="3"/>
  <c r="D240" i="3" a="1"/>
  <c r="D239" i="3"/>
  <c r="D239" i="3" a="1"/>
  <c r="D238" i="3"/>
  <c r="D238" i="3" a="1"/>
  <c r="D237" i="3" a="1"/>
  <c r="D237" i="3" s="1"/>
  <c r="D236" i="3" a="1"/>
  <c r="D236" i="3" s="1"/>
  <c r="I236" i="3" s="1"/>
  <c r="D235" i="3" a="1"/>
  <c r="D235" i="3" s="1"/>
  <c r="D234" i="3"/>
  <c r="D234" i="3" a="1"/>
  <c r="D233" i="3" a="1"/>
  <c r="D233" i="3" s="1"/>
  <c r="D232" i="3"/>
  <c r="D232" i="3" a="1"/>
  <c r="D231" i="3"/>
  <c r="D231" i="3" a="1"/>
  <c r="D230" i="3"/>
  <c r="D230" i="3" a="1"/>
  <c r="D229" i="3" a="1"/>
  <c r="D229" i="3" s="1"/>
  <c r="D228" i="3"/>
  <c r="D228" i="3" a="1"/>
  <c r="D227" i="3" a="1"/>
  <c r="D227" i="3" s="1"/>
  <c r="D226" i="3"/>
  <c r="D226" i="3" a="1"/>
  <c r="D225" i="3" a="1"/>
  <c r="D225" i="3" s="1"/>
  <c r="D224" i="3" a="1"/>
  <c r="D224" i="3" s="1"/>
  <c r="I224" i="3" s="1"/>
  <c r="D223" i="3"/>
  <c r="D223" i="3" a="1"/>
  <c r="D222" i="3"/>
  <c r="D222" i="3" a="1"/>
  <c r="D221" i="3" a="1"/>
  <c r="D221" i="3" s="1"/>
  <c r="E221" i="3" s="1"/>
  <c r="D220" i="3" a="1"/>
  <c r="D220" i="3" s="1"/>
  <c r="D219" i="3"/>
  <c r="D219" i="3" a="1"/>
  <c r="D218" i="3"/>
  <c r="D218" i="3" a="1"/>
  <c r="D217" i="3" a="1"/>
  <c r="D217" i="3" s="1"/>
  <c r="D216" i="3" a="1"/>
  <c r="D216" i="3" s="1"/>
  <c r="D215" i="3" a="1"/>
  <c r="D215" i="3" s="1"/>
  <c r="D214" i="3"/>
  <c r="D214" i="3" a="1"/>
  <c r="D213" i="3" a="1"/>
  <c r="D213" i="3" s="1"/>
  <c r="D212" i="3" a="1"/>
  <c r="D212" i="3" s="1"/>
  <c r="D211" i="3" a="1"/>
  <c r="D211" i="3" s="1"/>
  <c r="D210" i="3"/>
  <c r="D210" i="3" a="1"/>
  <c r="D209" i="3" a="1"/>
  <c r="D209" i="3" s="1"/>
  <c r="D208" i="3"/>
  <c r="D208" i="3" a="1"/>
  <c r="D207" i="3" a="1"/>
  <c r="D207" i="3" s="1"/>
  <c r="D206" i="3"/>
  <c r="D206" i="3" a="1"/>
  <c r="D205" i="3" a="1"/>
  <c r="D205" i="3" s="1"/>
  <c r="D204" i="3" a="1"/>
  <c r="D204" i="3" s="1"/>
  <c r="D203" i="3" a="1"/>
  <c r="D203" i="3" s="1"/>
  <c r="D202" i="3"/>
  <c r="D202" i="3" a="1"/>
  <c r="D201" i="3" a="1"/>
  <c r="D201" i="3" s="1"/>
  <c r="D200" i="3"/>
  <c r="D200" i="3" a="1"/>
  <c r="D199" i="3"/>
  <c r="D199" i="3" a="1"/>
  <c r="D198" i="3"/>
  <c r="D198" i="3" a="1"/>
  <c r="D197" i="3" a="1"/>
  <c r="D197" i="3" s="1"/>
  <c r="D196" i="3" a="1"/>
  <c r="D196" i="3" s="1"/>
  <c r="D195" i="3" a="1"/>
  <c r="D195" i="3" s="1"/>
  <c r="D194" i="3"/>
  <c r="D194" i="3" a="1"/>
  <c r="D193" i="3" a="1"/>
  <c r="D193" i="3" s="1"/>
  <c r="D192" i="3" a="1"/>
  <c r="D192" i="3" s="1"/>
  <c r="D191" i="3"/>
  <c r="D191" i="3" a="1"/>
  <c r="D190" i="3"/>
  <c r="D190" i="3" a="1"/>
  <c r="D189" i="3" a="1"/>
  <c r="D189" i="3" s="1"/>
  <c r="D188" i="3" a="1"/>
  <c r="D188" i="3" s="1"/>
  <c r="D187" i="3" a="1"/>
  <c r="D187" i="3" s="1"/>
  <c r="D186" i="3"/>
  <c r="D186" i="3" a="1"/>
  <c r="D185" i="3" a="1"/>
  <c r="D185" i="3" s="1"/>
  <c r="D184" i="3"/>
  <c r="D184" i="3" a="1"/>
  <c r="D183" i="3" a="1"/>
  <c r="D183" i="3" s="1"/>
  <c r="D182" i="3"/>
  <c r="D182" i="3" a="1"/>
  <c r="D181" i="3" a="1"/>
  <c r="D181" i="3" s="1"/>
  <c r="D180" i="3" a="1"/>
  <c r="D180" i="3" s="1"/>
  <c r="D179" i="3"/>
  <c r="D179" i="3" a="1"/>
  <c r="D178" i="3"/>
  <c r="D178" i="3" a="1"/>
  <c r="D177" i="3" a="1"/>
  <c r="D177" i="3" s="1"/>
  <c r="D176" i="3"/>
  <c r="D176" i="3" a="1"/>
  <c r="D175" i="3"/>
  <c r="I175" i="3" s="1"/>
  <c r="D175" i="3" a="1"/>
  <c r="D174" i="3"/>
  <c r="D174" i="3" a="1"/>
  <c r="D173" i="3" a="1"/>
  <c r="D173" i="3" s="1"/>
  <c r="D172" i="3" a="1"/>
  <c r="D172" i="3" s="1"/>
  <c r="D171" i="3" a="1"/>
  <c r="D171" i="3" s="1"/>
  <c r="D170" i="3"/>
  <c r="D170" i="3" a="1"/>
  <c r="D169" i="3" a="1"/>
  <c r="D169" i="3" s="1"/>
  <c r="D168" i="3"/>
  <c r="D168" i="3" a="1"/>
  <c r="D167" i="3"/>
  <c r="D167" i="3" a="1"/>
  <c r="D166" i="3"/>
  <c r="D166" i="3" a="1"/>
  <c r="D165" i="3" a="1"/>
  <c r="D165" i="3" s="1"/>
  <c r="D164" i="3"/>
  <c r="I164" i="3" s="1"/>
  <c r="D164" i="3" a="1"/>
  <c r="D163" i="3" a="1"/>
  <c r="D163" i="3" s="1"/>
  <c r="D162" i="3"/>
  <c r="D162" i="3" a="1"/>
  <c r="D161" i="3" a="1"/>
  <c r="D161" i="3" s="1"/>
  <c r="D160" i="3" a="1"/>
  <c r="D160" i="3" s="1"/>
  <c r="D159" i="3"/>
  <c r="D159" i="3" a="1"/>
  <c r="D158" i="3"/>
  <c r="D158" i="3" a="1"/>
  <c r="D157" i="3" a="1"/>
  <c r="D157" i="3" s="1"/>
  <c r="D156" i="3" a="1"/>
  <c r="D156" i="3" s="1"/>
  <c r="D155" i="3"/>
  <c r="D155" i="3" a="1"/>
  <c r="D154" i="3"/>
  <c r="D154" i="3" a="1"/>
  <c r="D153" i="3" a="1"/>
  <c r="D153" i="3" s="1"/>
  <c r="D152" i="3" a="1"/>
  <c r="D152" i="3" s="1"/>
  <c r="D151" i="3" a="1"/>
  <c r="D151" i="3" s="1"/>
  <c r="I151" i="3" s="1"/>
  <c r="D150" i="3"/>
  <c r="D150" i="3" a="1"/>
  <c r="D149" i="3" a="1"/>
  <c r="D149" i="3" s="1"/>
  <c r="D148" i="3" a="1"/>
  <c r="D148" i="3" s="1"/>
  <c r="D147" i="3" a="1"/>
  <c r="D147" i="3" s="1"/>
  <c r="D146" i="3"/>
  <c r="D146" i="3" a="1"/>
  <c r="D145" i="3" a="1"/>
  <c r="D145" i="3" s="1"/>
  <c r="D144" i="3"/>
  <c r="D144" i="3" a="1"/>
  <c r="D143" i="3" a="1"/>
  <c r="D143" i="3" s="1"/>
  <c r="D142" i="3"/>
  <c r="D142" i="3" a="1"/>
  <c r="D141" i="3" a="1"/>
  <c r="D141" i="3" s="1"/>
  <c r="D140" i="3" a="1"/>
  <c r="D140" i="3" s="1"/>
  <c r="D139" i="3" a="1"/>
  <c r="D139" i="3" s="1"/>
  <c r="D138" i="3"/>
  <c r="D138" i="3" a="1"/>
  <c r="D137" i="3" a="1"/>
  <c r="D137" i="3" s="1"/>
  <c r="D136" i="3"/>
  <c r="D136" i="3" a="1"/>
  <c r="D135" i="3"/>
  <c r="D135" i="3" a="1"/>
  <c r="D134" i="3"/>
  <c r="D134" i="3" a="1"/>
  <c r="D133" i="3" a="1"/>
  <c r="D133" i="3" s="1"/>
  <c r="D132" i="3" a="1"/>
  <c r="D132" i="3" s="1"/>
  <c r="D131" i="3" a="1"/>
  <c r="D131" i="3" s="1"/>
  <c r="D130" i="3"/>
  <c r="D130" i="3" a="1"/>
  <c r="D129" i="3" a="1"/>
  <c r="D129" i="3" s="1"/>
  <c r="D128" i="3" a="1"/>
  <c r="D128" i="3" s="1"/>
  <c r="D127" i="3"/>
  <c r="D127" i="3" a="1"/>
  <c r="D126" i="3"/>
  <c r="I126" i="3" s="1"/>
  <c r="D126" i="3" a="1"/>
  <c r="D125" i="3" a="1"/>
  <c r="D125" i="3" s="1"/>
  <c r="D124" i="3" a="1"/>
  <c r="D124" i="3" s="1"/>
  <c r="D123" i="3" a="1"/>
  <c r="D123" i="3" s="1"/>
  <c r="D122" i="3"/>
  <c r="D122" i="3" a="1"/>
  <c r="D121" i="3" a="1"/>
  <c r="D121" i="3" s="1"/>
  <c r="D120" i="3"/>
  <c r="D120" i="3" a="1"/>
  <c r="D119" i="3" a="1"/>
  <c r="D119" i="3" s="1"/>
  <c r="D118" i="3"/>
  <c r="D118" i="3" a="1"/>
  <c r="D117" i="3" a="1"/>
  <c r="D117" i="3" s="1"/>
  <c r="D116" i="3" a="1"/>
  <c r="D116" i="3" s="1"/>
  <c r="I116" i="3" s="1"/>
  <c r="D115" i="3"/>
  <c r="D115" i="3" a="1"/>
  <c r="D114" i="3"/>
  <c r="D114" i="3" a="1"/>
  <c r="D113" i="3" a="1"/>
  <c r="D113" i="3" s="1"/>
  <c r="D112" i="3"/>
  <c r="D112" i="3" a="1"/>
  <c r="D111" i="3"/>
  <c r="D111" i="3" a="1"/>
  <c r="D110" i="3"/>
  <c r="D110" i="3" a="1"/>
  <c r="D109" i="3" a="1"/>
  <c r="D109" i="3" s="1"/>
  <c r="D108" i="3" a="1"/>
  <c r="D108" i="3" s="1"/>
  <c r="D107" i="3" a="1"/>
  <c r="D107" i="3" s="1"/>
  <c r="D106" i="3"/>
  <c r="D106" i="3" a="1"/>
  <c r="D105" i="3" a="1"/>
  <c r="D105" i="3" s="1"/>
  <c r="D104" i="3"/>
  <c r="D104" i="3" a="1"/>
  <c r="D103" i="3"/>
  <c r="D103" i="3" a="1"/>
  <c r="D102" i="3"/>
  <c r="D102" i="3" a="1"/>
  <c r="D101" i="3" a="1"/>
  <c r="D101" i="3" s="1"/>
  <c r="D100" i="3"/>
  <c r="D100" i="3" a="1"/>
  <c r="D99" i="3" a="1"/>
  <c r="D99" i="3" s="1"/>
  <c r="D98" i="3"/>
  <c r="D98" i="3" a="1"/>
  <c r="D97" i="3" a="1"/>
  <c r="D97" i="3" s="1"/>
  <c r="D96" i="3" a="1"/>
  <c r="D96" i="3" s="1"/>
  <c r="D95" i="3"/>
  <c r="D95" i="3" a="1"/>
  <c r="D94" i="3"/>
  <c r="D94" i="3" a="1"/>
  <c r="D93" i="3" a="1"/>
  <c r="D93" i="3" s="1"/>
  <c r="D92" i="3" a="1"/>
  <c r="D92" i="3" s="1"/>
  <c r="D91" i="3"/>
  <c r="D91" i="3" a="1"/>
  <c r="D90" i="3"/>
  <c r="D90" i="3" a="1"/>
  <c r="D89" i="3" a="1"/>
  <c r="D89" i="3" s="1"/>
  <c r="D88" i="3" a="1"/>
  <c r="D88" i="3" s="1"/>
  <c r="D87" i="3" a="1"/>
  <c r="D87" i="3" s="1"/>
  <c r="D86" i="3"/>
  <c r="D86" i="3" a="1"/>
  <c r="D85" i="3" a="1"/>
  <c r="D85" i="3" s="1"/>
  <c r="D84" i="3" a="1"/>
  <c r="D84" i="3" s="1"/>
  <c r="D83" i="3" a="1"/>
  <c r="D83" i="3" s="1"/>
  <c r="D82" i="3"/>
  <c r="D82" i="3" a="1"/>
  <c r="D81" i="3" a="1"/>
  <c r="D81" i="3" s="1"/>
  <c r="D80" i="3"/>
  <c r="D80" i="3" a="1"/>
  <c r="D79" i="3" a="1"/>
  <c r="D79" i="3" s="1"/>
  <c r="D78" i="3"/>
  <c r="D78" i="3" a="1"/>
  <c r="D77" i="3" a="1"/>
  <c r="D77" i="3" s="1"/>
  <c r="I77" i="3" s="1"/>
  <c r="D76" i="3" a="1"/>
  <c r="D76" i="3" s="1"/>
  <c r="D75" i="3" a="1"/>
  <c r="D75" i="3" s="1"/>
  <c r="D74" i="3"/>
  <c r="D74" i="3" a="1"/>
  <c r="D73" i="3" a="1"/>
  <c r="D73" i="3" s="1"/>
  <c r="D72" i="3"/>
  <c r="D72" i="3" a="1"/>
  <c r="D71" i="3"/>
  <c r="D71" i="3" a="1"/>
  <c r="D70" i="3"/>
  <c r="D70" i="3" a="1"/>
  <c r="D69" i="3" a="1"/>
  <c r="D69" i="3" s="1"/>
  <c r="D68" i="3" a="1"/>
  <c r="D68" i="3" s="1"/>
  <c r="D67" i="3" a="1"/>
  <c r="D67" i="3" s="1"/>
  <c r="D66" i="3"/>
  <c r="D66" i="3" a="1"/>
  <c r="D65" i="3" a="1"/>
  <c r="D65" i="3" s="1"/>
  <c r="D64" i="3" a="1"/>
  <c r="D64" i="3" s="1"/>
  <c r="D63" i="3"/>
  <c r="D63" i="3" a="1"/>
  <c r="D62" i="3"/>
  <c r="D62" i="3" a="1"/>
  <c r="D61" i="3" a="1"/>
  <c r="D61" i="3" s="1"/>
  <c r="D60" i="3" a="1"/>
  <c r="D60" i="3" s="1"/>
  <c r="D59" i="3" a="1"/>
  <c r="D59" i="3" s="1"/>
  <c r="D58" i="3"/>
  <c r="D58" i="3" a="1"/>
  <c r="D57" i="3" a="1"/>
  <c r="D57" i="3" s="1"/>
  <c r="D56" i="3"/>
  <c r="D56" i="3" a="1"/>
  <c r="D55" i="3" a="1"/>
  <c r="D55" i="3" s="1"/>
  <c r="D54" i="3"/>
  <c r="D54" i="3" a="1"/>
  <c r="D53" i="3" a="1"/>
  <c r="D53" i="3" s="1"/>
  <c r="D52" i="3" a="1"/>
  <c r="D52" i="3" s="1"/>
  <c r="D51" i="3"/>
  <c r="D51" i="3" a="1"/>
  <c r="D50" i="3"/>
  <c r="I50" i="3" s="1"/>
  <c r="D50" i="3" a="1"/>
  <c r="D49" i="3" a="1"/>
  <c r="D49" i="3" s="1"/>
  <c r="D48" i="3"/>
  <c r="D48" i="3" a="1"/>
  <c r="D47" i="3"/>
  <c r="D47" i="3" a="1"/>
  <c r="D46" i="3"/>
  <c r="D46" i="3" a="1"/>
  <c r="D45" i="3" a="1"/>
  <c r="D45" i="3" s="1"/>
  <c r="D44" i="3" a="1"/>
  <c r="D44" i="3" s="1"/>
  <c r="D43" i="3" a="1"/>
  <c r="D43" i="3" s="1"/>
  <c r="D42" i="3"/>
  <c r="D42" i="3" a="1"/>
  <c r="D41" i="3" a="1"/>
  <c r="D41" i="3" s="1"/>
  <c r="D40" i="3"/>
  <c r="D40" i="3" a="1"/>
  <c r="D39" i="3"/>
  <c r="D39" i="3" a="1"/>
  <c r="D38" i="3"/>
  <c r="D38" i="3" a="1"/>
  <c r="D37" i="3" a="1"/>
  <c r="D37" i="3" s="1"/>
  <c r="D36" i="3"/>
  <c r="E36" i="3" s="1"/>
  <c r="D36" i="3" a="1"/>
  <c r="D35" i="3" a="1"/>
  <c r="D35" i="3" s="1"/>
  <c r="D34" i="3"/>
  <c r="D34" i="3" a="1"/>
  <c r="D33" i="3" a="1"/>
  <c r="D33" i="3" s="1"/>
  <c r="D32" i="3" a="1"/>
  <c r="D32" i="3" s="1"/>
  <c r="D31" i="3"/>
  <c r="D31" i="3" a="1"/>
  <c r="D30" i="3"/>
  <c r="D30" i="3" a="1"/>
  <c r="D29" i="3" a="1"/>
  <c r="D29" i="3" s="1"/>
  <c r="D28" i="3" a="1"/>
  <c r="D28" i="3" s="1"/>
  <c r="D27" i="3"/>
  <c r="D27" i="3" a="1"/>
  <c r="D26" i="3"/>
  <c r="D26" i="3" a="1"/>
  <c r="D25" i="3" a="1"/>
  <c r="D25" i="3" s="1"/>
  <c r="D24" i="3" a="1"/>
  <c r="D24" i="3" s="1"/>
  <c r="D23" i="3" a="1"/>
  <c r="D23" i="3" s="1"/>
  <c r="D22" i="3"/>
  <c r="D22" i="3" a="1"/>
  <c r="D21" i="3" a="1"/>
  <c r="D21" i="3" s="1"/>
  <c r="D20" i="3" a="1"/>
  <c r="D20" i="3" s="1"/>
  <c r="D19" i="3" a="1"/>
  <c r="D19" i="3" s="1"/>
  <c r="I19" i="3" s="1"/>
  <c r="D18" i="3"/>
  <c r="D18" i="3" a="1"/>
  <c r="D17" i="3" a="1"/>
  <c r="D17" i="3" s="1"/>
  <c r="D16" i="3"/>
  <c r="D16" i="3" a="1"/>
  <c r="D15" i="3" a="1"/>
  <c r="D15" i="3" s="1"/>
  <c r="D14" i="3"/>
  <c r="D14" i="3" a="1"/>
  <c r="D13" i="3" a="1"/>
  <c r="D13" i="3" s="1"/>
  <c r="D12" i="3" a="1"/>
  <c r="D12" i="3" s="1"/>
  <c r="D11" i="3" a="1"/>
  <c r="D11" i="3" s="1"/>
  <c r="D10" i="3"/>
  <c r="D10" i="3" a="1"/>
  <c r="D9" i="3" a="1"/>
  <c r="D9" i="3" s="1"/>
  <c r="D8" i="3"/>
  <c r="I8" i="3" s="1"/>
  <c r="D8" i="3" a="1"/>
  <c r="D7" i="3"/>
  <c r="D7" i="3" a="1"/>
  <c r="D6" i="3"/>
  <c r="D6" i="3" a="1"/>
  <c r="D5" i="3" a="1"/>
  <c r="D5" i="3" s="1"/>
  <c r="D4" i="3"/>
  <c r="I4" i="3" s="1"/>
  <c r="D4" i="3" a="1"/>
  <c r="D3" i="3"/>
  <c r="D3" i="3" a="1"/>
  <c r="D2" i="3" a="1"/>
  <c r="D2" i="3" s="1"/>
  <c r="E2" i="3" s="1"/>
  <c r="E604" i="3"/>
  <c r="J604" i="3" s="1"/>
  <c r="I543" i="3"/>
  <c r="I491" i="3"/>
  <c r="E486" i="3"/>
  <c r="I404" i="3"/>
  <c r="I179" i="3"/>
  <c r="I150" i="3"/>
  <c r="E22" i="3"/>
  <c r="I616" i="3"/>
  <c r="H616" i="3"/>
  <c r="G616" i="3"/>
  <c r="F616" i="3"/>
  <c r="E616" i="3"/>
  <c r="B616" i="3"/>
  <c r="A616" i="3"/>
  <c r="I615" i="3"/>
  <c r="H615" i="3"/>
  <c r="G615" i="3"/>
  <c r="F615" i="3"/>
  <c r="E615" i="3"/>
  <c r="B615" i="3"/>
  <c r="A615" i="3"/>
  <c r="I614" i="3"/>
  <c r="H614" i="3"/>
  <c r="G614" i="3"/>
  <c r="F614" i="3"/>
  <c r="B614" i="3"/>
  <c r="A614" i="3"/>
  <c r="I613" i="3"/>
  <c r="H613" i="3"/>
  <c r="G613" i="3"/>
  <c r="E613" i="3"/>
  <c r="F613" i="3" s="1"/>
  <c r="B613" i="3"/>
  <c r="A613" i="3"/>
  <c r="I612" i="3"/>
  <c r="H612" i="3"/>
  <c r="G612" i="3"/>
  <c r="F612" i="3"/>
  <c r="E612" i="3"/>
  <c r="B612" i="3"/>
  <c r="A612" i="3"/>
  <c r="I611" i="3"/>
  <c r="H611" i="3"/>
  <c r="G611" i="3"/>
  <c r="F611" i="3"/>
  <c r="E611" i="3"/>
  <c r="B611" i="3"/>
  <c r="A611" i="3"/>
  <c r="I610" i="3"/>
  <c r="H610" i="3"/>
  <c r="F610" i="3"/>
  <c r="E610" i="3"/>
  <c r="B610" i="3"/>
  <c r="A610" i="3"/>
  <c r="H609" i="3"/>
  <c r="G609" i="3"/>
  <c r="F609" i="3"/>
  <c r="E609" i="3"/>
  <c r="B609" i="3"/>
  <c r="A609" i="3"/>
  <c r="I608" i="3"/>
  <c r="H608" i="3"/>
  <c r="G608" i="3"/>
  <c r="F608" i="3"/>
  <c r="E608" i="3"/>
  <c r="B608" i="3"/>
  <c r="A608" i="3"/>
  <c r="I607" i="3"/>
  <c r="H607" i="3"/>
  <c r="G607" i="3"/>
  <c r="F607" i="3"/>
  <c r="E607" i="3"/>
  <c r="B607" i="3"/>
  <c r="A607" i="3"/>
  <c r="H606" i="3"/>
  <c r="G606" i="3"/>
  <c r="F606" i="3"/>
  <c r="E606" i="3"/>
  <c r="B606" i="3"/>
  <c r="A606" i="3"/>
  <c r="I605" i="3"/>
  <c r="H605" i="3"/>
  <c r="G605" i="3"/>
  <c r="F605" i="3"/>
  <c r="E605" i="3"/>
  <c r="B605" i="3"/>
  <c r="A605" i="3"/>
  <c r="I604" i="3"/>
  <c r="H604" i="3"/>
  <c r="G604" i="3"/>
  <c r="F604" i="3"/>
  <c r="B604" i="3"/>
  <c r="A604" i="3"/>
  <c r="I603" i="3"/>
  <c r="H603" i="3"/>
  <c r="G603" i="3"/>
  <c r="F603" i="3"/>
  <c r="E603" i="3"/>
  <c r="B603" i="3"/>
  <c r="A603" i="3"/>
  <c r="I602" i="3"/>
  <c r="H602" i="3"/>
  <c r="G602" i="3"/>
  <c r="E602" i="3"/>
  <c r="B602" i="3"/>
  <c r="A602" i="3"/>
  <c r="I601" i="3"/>
  <c r="H601" i="3"/>
  <c r="G601" i="3"/>
  <c r="F601" i="3"/>
  <c r="E601" i="3"/>
  <c r="B601" i="3"/>
  <c r="A601" i="3"/>
  <c r="I600" i="3"/>
  <c r="H600" i="3"/>
  <c r="G600" i="3"/>
  <c r="F600" i="3"/>
  <c r="E600" i="3"/>
  <c r="B600" i="3"/>
  <c r="A600" i="3"/>
  <c r="I599" i="3"/>
  <c r="H599" i="3"/>
  <c r="G599" i="3"/>
  <c r="E599" i="3"/>
  <c r="B599" i="3"/>
  <c r="A599" i="3"/>
  <c r="I598" i="3"/>
  <c r="H598" i="3"/>
  <c r="F598" i="3"/>
  <c r="E598" i="3"/>
  <c r="B598" i="3"/>
  <c r="A598" i="3"/>
  <c r="I597" i="3"/>
  <c r="H597" i="3"/>
  <c r="G597" i="3"/>
  <c r="F597" i="3"/>
  <c r="E597" i="3"/>
  <c r="B597" i="3"/>
  <c r="A597" i="3"/>
  <c r="H596" i="3"/>
  <c r="G596" i="3"/>
  <c r="F596" i="3"/>
  <c r="E596" i="3"/>
  <c r="B596" i="3"/>
  <c r="A596" i="3"/>
  <c r="I595" i="3"/>
  <c r="H595" i="3"/>
  <c r="G595" i="3"/>
  <c r="F595" i="3"/>
  <c r="E595" i="3"/>
  <c r="B595" i="3"/>
  <c r="A595" i="3"/>
  <c r="I594" i="3"/>
  <c r="H594" i="3"/>
  <c r="G594" i="3"/>
  <c r="F594" i="3"/>
  <c r="E594" i="3"/>
  <c r="B594" i="3"/>
  <c r="A594" i="3"/>
  <c r="I593" i="3"/>
  <c r="H593" i="3"/>
  <c r="G593" i="3"/>
  <c r="F593" i="3"/>
  <c r="E593" i="3"/>
  <c r="B593" i="3"/>
  <c r="A593" i="3"/>
  <c r="I592" i="3"/>
  <c r="H592" i="3"/>
  <c r="G592" i="3"/>
  <c r="F592" i="3"/>
  <c r="E592" i="3"/>
  <c r="B592" i="3"/>
  <c r="A592" i="3"/>
  <c r="H591" i="3"/>
  <c r="G591" i="3"/>
  <c r="F591" i="3"/>
  <c r="E591" i="3"/>
  <c r="B591" i="3"/>
  <c r="A591" i="3"/>
  <c r="I590" i="3"/>
  <c r="H590" i="3"/>
  <c r="G590" i="3"/>
  <c r="F590" i="3"/>
  <c r="B590" i="3"/>
  <c r="A590" i="3"/>
  <c r="I589" i="3"/>
  <c r="H589" i="3"/>
  <c r="G589" i="3"/>
  <c r="F589" i="3"/>
  <c r="E589" i="3"/>
  <c r="B589" i="3"/>
  <c r="A589" i="3"/>
  <c r="I588" i="3"/>
  <c r="H588" i="3"/>
  <c r="G588" i="3"/>
  <c r="F588" i="3"/>
  <c r="E588" i="3"/>
  <c r="B588" i="3"/>
  <c r="A588" i="3"/>
  <c r="I587" i="3"/>
  <c r="H587" i="3"/>
  <c r="G587" i="3"/>
  <c r="F587" i="3"/>
  <c r="E587" i="3"/>
  <c r="B587" i="3"/>
  <c r="A587" i="3"/>
  <c r="I586" i="3"/>
  <c r="H586" i="3"/>
  <c r="G586" i="3"/>
  <c r="F586" i="3"/>
  <c r="E586" i="3"/>
  <c r="B586" i="3"/>
  <c r="A586" i="3"/>
  <c r="I585" i="3"/>
  <c r="H585" i="3"/>
  <c r="G585" i="3"/>
  <c r="F585" i="3"/>
  <c r="E585" i="3"/>
  <c r="B585" i="3"/>
  <c r="A585" i="3"/>
  <c r="I584" i="3"/>
  <c r="H584" i="3"/>
  <c r="G584" i="3"/>
  <c r="F584" i="3"/>
  <c r="E584" i="3"/>
  <c r="B584" i="3"/>
  <c r="A584" i="3"/>
  <c r="I583" i="3"/>
  <c r="H583" i="3"/>
  <c r="F583" i="3"/>
  <c r="E583" i="3"/>
  <c r="B583" i="3"/>
  <c r="A583" i="3"/>
  <c r="H582" i="3"/>
  <c r="G582" i="3"/>
  <c r="F582" i="3"/>
  <c r="E582" i="3"/>
  <c r="B582" i="3"/>
  <c r="A582" i="3"/>
  <c r="H581" i="3"/>
  <c r="G581" i="3"/>
  <c r="F581" i="3"/>
  <c r="E581" i="3"/>
  <c r="B581" i="3"/>
  <c r="A581" i="3"/>
  <c r="I580" i="3"/>
  <c r="H580" i="3"/>
  <c r="G580" i="3"/>
  <c r="F580" i="3"/>
  <c r="E580" i="3"/>
  <c r="B580" i="3"/>
  <c r="A580" i="3"/>
  <c r="I579" i="3"/>
  <c r="H579" i="3"/>
  <c r="G579" i="3"/>
  <c r="F579" i="3"/>
  <c r="E579" i="3"/>
  <c r="B579" i="3"/>
  <c r="A579" i="3"/>
  <c r="I578" i="3"/>
  <c r="H578" i="3"/>
  <c r="G578" i="3"/>
  <c r="F578" i="3"/>
  <c r="E578" i="3"/>
  <c r="B578" i="3"/>
  <c r="A578" i="3"/>
  <c r="I577" i="3"/>
  <c r="H577" i="3"/>
  <c r="G577" i="3"/>
  <c r="F577" i="3"/>
  <c r="E577" i="3"/>
  <c r="B577" i="3"/>
  <c r="A577" i="3"/>
  <c r="I576" i="3"/>
  <c r="H576" i="3"/>
  <c r="G576" i="3"/>
  <c r="F576" i="3"/>
  <c r="E576" i="3"/>
  <c r="B576" i="3"/>
  <c r="A576" i="3"/>
  <c r="I575" i="3"/>
  <c r="H575" i="3"/>
  <c r="G575" i="3"/>
  <c r="E575" i="3"/>
  <c r="B575" i="3"/>
  <c r="A575" i="3"/>
  <c r="I574" i="3"/>
  <c r="H574" i="3"/>
  <c r="G574" i="3"/>
  <c r="F574" i="3"/>
  <c r="E574" i="3"/>
  <c r="B574" i="3"/>
  <c r="A574" i="3"/>
  <c r="I573" i="3"/>
  <c r="H573" i="3"/>
  <c r="G573" i="3"/>
  <c r="F573" i="3"/>
  <c r="E573" i="3"/>
  <c r="B573" i="3"/>
  <c r="A573" i="3"/>
  <c r="I572" i="3"/>
  <c r="H572" i="3"/>
  <c r="G572" i="3"/>
  <c r="F572" i="3"/>
  <c r="E572" i="3"/>
  <c r="B572" i="3"/>
  <c r="A572" i="3"/>
  <c r="I571" i="3"/>
  <c r="H571" i="3"/>
  <c r="G571" i="3"/>
  <c r="F571" i="3"/>
  <c r="E571" i="3"/>
  <c r="B571" i="3"/>
  <c r="A571" i="3"/>
  <c r="I570" i="3"/>
  <c r="H570" i="3"/>
  <c r="G570" i="3"/>
  <c r="F570" i="3"/>
  <c r="E570" i="3"/>
  <c r="B570" i="3"/>
  <c r="A570" i="3"/>
  <c r="I569" i="3"/>
  <c r="H569" i="3"/>
  <c r="G569" i="3"/>
  <c r="F569" i="3"/>
  <c r="E569" i="3"/>
  <c r="B569" i="3"/>
  <c r="A569" i="3"/>
  <c r="I568" i="3"/>
  <c r="H568" i="3"/>
  <c r="G568" i="3"/>
  <c r="F568" i="3"/>
  <c r="E568" i="3"/>
  <c r="B568" i="3"/>
  <c r="A568" i="3"/>
  <c r="I567" i="3"/>
  <c r="H567" i="3"/>
  <c r="G567" i="3"/>
  <c r="F567" i="3"/>
  <c r="E567" i="3"/>
  <c r="B567" i="3"/>
  <c r="A567" i="3"/>
  <c r="H566" i="3"/>
  <c r="G566" i="3"/>
  <c r="F566" i="3"/>
  <c r="E566" i="3"/>
  <c r="B566" i="3"/>
  <c r="A566" i="3"/>
  <c r="I565" i="3"/>
  <c r="H565" i="3"/>
  <c r="G565" i="3"/>
  <c r="F565" i="3"/>
  <c r="E565" i="3"/>
  <c r="B565" i="3"/>
  <c r="A565" i="3"/>
  <c r="I564" i="3"/>
  <c r="H564" i="3"/>
  <c r="G564" i="3"/>
  <c r="F564" i="3"/>
  <c r="E564" i="3"/>
  <c r="B564" i="3"/>
  <c r="A564" i="3"/>
  <c r="I563" i="3"/>
  <c r="H563" i="3"/>
  <c r="G563" i="3"/>
  <c r="F563" i="3"/>
  <c r="E563" i="3"/>
  <c r="B563" i="3"/>
  <c r="A563" i="3"/>
  <c r="H562" i="3"/>
  <c r="G562" i="3"/>
  <c r="F562" i="3"/>
  <c r="E562" i="3"/>
  <c r="I562" i="3"/>
  <c r="B562" i="3"/>
  <c r="A562" i="3"/>
  <c r="I561" i="3"/>
  <c r="H561" i="3"/>
  <c r="G561" i="3"/>
  <c r="F561" i="3"/>
  <c r="E561" i="3"/>
  <c r="B561" i="3"/>
  <c r="A561" i="3"/>
  <c r="I560" i="3"/>
  <c r="H560" i="3"/>
  <c r="G560" i="3"/>
  <c r="F560" i="3"/>
  <c r="E560" i="3"/>
  <c r="B560" i="3"/>
  <c r="A560" i="3"/>
  <c r="I559" i="3"/>
  <c r="H559" i="3"/>
  <c r="G559" i="3"/>
  <c r="F559" i="3"/>
  <c r="E559" i="3"/>
  <c r="B559" i="3"/>
  <c r="A559" i="3"/>
  <c r="I558" i="3"/>
  <c r="H558" i="3"/>
  <c r="G558" i="3"/>
  <c r="F558" i="3"/>
  <c r="E558" i="3"/>
  <c r="B558" i="3"/>
  <c r="A558" i="3"/>
  <c r="I557" i="3"/>
  <c r="H557" i="3"/>
  <c r="G557" i="3"/>
  <c r="F557" i="3"/>
  <c r="E557" i="3"/>
  <c r="B557" i="3"/>
  <c r="A557" i="3"/>
  <c r="I556" i="3"/>
  <c r="H556" i="3"/>
  <c r="G556" i="3"/>
  <c r="F556" i="3"/>
  <c r="E556" i="3"/>
  <c r="B556" i="3"/>
  <c r="A556" i="3"/>
  <c r="I555" i="3"/>
  <c r="H555" i="3"/>
  <c r="G555" i="3"/>
  <c r="F555" i="3"/>
  <c r="E555" i="3"/>
  <c r="B555" i="3"/>
  <c r="A555" i="3"/>
  <c r="I554" i="3"/>
  <c r="H554" i="3"/>
  <c r="G554" i="3"/>
  <c r="E554" i="3"/>
  <c r="B554" i="3"/>
  <c r="A554" i="3"/>
  <c r="I553" i="3"/>
  <c r="H553" i="3"/>
  <c r="G553" i="3"/>
  <c r="F553" i="3"/>
  <c r="B553" i="3"/>
  <c r="A553" i="3"/>
  <c r="I552" i="3"/>
  <c r="H552" i="3"/>
  <c r="G552" i="3"/>
  <c r="F552" i="3"/>
  <c r="E552" i="3"/>
  <c r="B552" i="3"/>
  <c r="A552" i="3"/>
  <c r="I551" i="3"/>
  <c r="H551" i="3"/>
  <c r="G551" i="3"/>
  <c r="F551" i="3"/>
  <c r="E551" i="3"/>
  <c r="B551" i="3"/>
  <c r="A551" i="3"/>
  <c r="I550" i="3"/>
  <c r="H550" i="3"/>
  <c r="G550" i="3"/>
  <c r="F550" i="3"/>
  <c r="E550" i="3"/>
  <c r="B550" i="3"/>
  <c r="A550" i="3"/>
  <c r="I549" i="3"/>
  <c r="H549" i="3"/>
  <c r="G549" i="3"/>
  <c r="F549" i="3"/>
  <c r="E549" i="3"/>
  <c r="B549" i="3"/>
  <c r="A549" i="3"/>
  <c r="H548" i="3"/>
  <c r="G548" i="3"/>
  <c r="F548" i="3"/>
  <c r="E548" i="3"/>
  <c r="B548" i="3"/>
  <c r="A548" i="3"/>
  <c r="I547" i="3"/>
  <c r="H547" i="3"/>
  <c r="G547" i="3"/>
  <c r="F547" i="3"/>
  <c r="E547" i="3"/>
  <c r="B547" i="3"/>
  <c r="A547" i="3"/>
  <c r="I546" i="3"/>
  <c r="H546" i="3"/>
  <c r="G546" i="3"/>
  <c r="E546" i="3"/>
  <c r="B546" i="3"/>
  <c r="A546" i="3"/>
  <c r="I545" i="3"/>
  <c r="H545" i="3"/>
  <c r="F545" i="3"/>
  <c r="E545" i="3"/>
  <c r="B545" i="3"/>
  <c r="A545" i="3"/>
  <c r="I544" i="3"/>
  <c r="H544" i="3"/>
  <c r="G544" i="3"/>
  <c r="F544" i="3"/>
  <c r="E544" i="3"/>
  <c r="B544" i="3"/>
  <c r="A544" i="3"/>
  <c r="H543" i="3"/>
  <c r="G543" i="3"/>
  <c r="F543" i="3"/>
  <c r="E543" i="3"/>
  <c r="B543" i="3"/>
  <c r="A543" i="3"/>
  <c r="I542" i="3"/>
  <c r="H542" i="3"/>
  <c r="G542" i="3"/>
  <c r="F542" i="3"/>
  <c r="E542" i="3"/>
  <c r="B542" i="3"/>
  <c r="A542" i="3"/>
  <c r="I541" i="3"/>
  <c r="H541" i="3"/>
  <c r="G541" i="3"/>
  <c r="F541" i="3"/>
  <c r="E541" i="3"/>
  <c r="B541" i="3"/>
  <c r="A541" i="3"/>
  <c r="I540" i="3"/>
  <c r="H540" i="3"/>
  <c r="G540" i="3"/>
  <c r="F540" i="3"/>
  <c r="E540" i="3"/>
  <c r="B540" i="3"/>
  <c r="A540" i="3"/>
  <c r="I539" i="3"/>
  <c r="H539" i="3"/>
  <c r="G539" i="3"/>
  <c r="F539" i="3"/>
  <c r="E539" i="3"/>
  <c r="B539" i="3"/>
  <c r="A539" i="3"/>
  <c r="I538" i="3"/>
  <c r="H538" i="3"/>
  <c r="F538" i="3"/>
  <c r="E538" i="3"/>
  <c r="B538" i="3"/>
  <c r="A538" i="3"/>
  <c r="I537" i="3"/>
  <c r="H537" i="3"/>
  <c r="G537" i="3"/>
  <c r="F537" i="3"/>
  <c r="E537" i="3"/>
  <c r="B537" i="3"/>
  <c r="A537" i="3"/>
  <c r="I536" i="3"/>
  <c r="H536" i="3"/>
  <c r="G536" i="3"/>
  <c r="F536" i="3"/>
  <c r="E536" i="3"/>
  <c r="B536" i="3"/>
  <c r="A536" i="3"/>
  <c r="I535" i="3"/>
  <c r="H535" i="3"/>
  <c r="G535" i="3"/>
  <c r="F535" i="3"/>
  <c r="E535" i="3"/>
  <c r="B535" i="3"/>
  <c r="A535" i="3"/>
  <c r="I534" i="3"/>
  <c r="H534" i="3"/>
  <c r="G534" i="3"/>
  <c r="F534" i="3"/>
  <c r="E534" i="3"/>
  <c r="B534" i="3"/>
  <c r="A534" i="3"/>
  <c r="I533" i="3"/>
  <c r="H533" i="3"/>
  <c r="G533" i="3"/>
  <c r="E533" i="3"/>
  <c r="B533" i="3"/>
  <c r="A533" i="3"/>
  <c r="I532" i="3"/>
  <c r="H532" i="3"/>
  <c r="G532" i="3"/>
  <c r="F532" i="3"/>
  <c r="E532" i="3"/>
  <c r="B532" i="3"/>
  <c r="A532" i="3"/>
  <c r="I531" i="3"/>
  <c r="H531" i="3"/>
  <c r="G531" i="3"/>
  <c r="F531" i="3"/>
  <c r="E531" i="3"/>
  <c r="B531" i="3"/>
  <c r="A531" i="3"/>
  <c r="I530" i="3"/>
  <c r="H530" i="3"/>
  <c r="G530" i="3"/>
  <c r="F530" i="3"/>
  <c r="E530" i="3"/>
  <c r="B530" i="3"/>
  <c r="A530" i="3"/>
  <c r="I529" i="3"/>
  <c r="H529" i="3"/>
  <c r="F529" i="3"/>
  <c r="E529" i="3"/>
  <c r="B529" i="3"/>
  <c r="A529" i="3"/>
  <c r="I528" i="3"/>
  <c r="H528" i="3"/>
  <c r="G528" i="3"/>
  <c r="F528" i="3"/>
  <c r="E528" i="3"/>
  <c r="B528" i="3"/>
  <c r="A528" i="3"/>
  <c r="I527" i="3"/>
  <c r="H527" i="3"/>
  <c r="F527" i="3"/>
  <c r="E527" i="3"/>
  <c r="B527" i="3"/>
  <c r="A527" i="3"/>
  <c r="I526" i="3"/>
  <c r="H526" i="3"/>
  <c r="G526" i="3"/>
  <c r="F526" i="3"/>
  <c r="B526" i="3"/>
  <c r="A526" i="3"/>
  <c r="H525" i="3"/>
  <c r="G525" i="3"/>
  <c r="F525" i="3"/>
  <c r="E525" i="3"/>
  <c r="B525" i="3"/>
  <c r="A525" i="3"/>
  <c r="I524" i="3"/>
  <c r="H524" i="3"/>
  <c r="F524" i="3"/>
  <c r="E524" i="3"/>
  <c r="G524" i="3" s="1"/>
  <c r="B524" i="3"/>
  <c r="A524" i="3"/>
  <c r="I523" i="3"/>
  <c r="H523" i="3"/>
  <c r="G523" i="3"/>
  <c r="F523" i="3"/>
  <c r="E523" i="3"/>
  <c r="B523" i="3"/>
  <c r="A523" i="3"/>
  <c r="I522" i="3"/>
  <c r="H522" i="3"/>
  <c r="G522" i="3"/>
  <c r="F522" i="3"/>
  <c r="E522" i="3"/>
  <c r="B522" i="3"/>
  <c r="A522" i="3"/>
  <c r="I521" i="3"/>
  <c r="H521" i="3"/>
  <c r="G521" i="3"/>
  <c r="F521" i="3"/>
  <c r="E521" i="3"/>
  <c r="B521" i="3"/>
  <c r="A521" i="3"/>
  <c r="I520" i="3"/>
  <c r="H520" i="3"/>
  <c r="G520" i="3"/>
  <c r="F520" i="3"/>
  <c r="E520" i="3"/>
  <c r="B520" i="3"/>
  <c r="A520" i="3"/>
  <c r="I519" i="3"/>
  <c r="H519" i="3"/>
  <c r="G519" i="3"/>
  <c r="E519" i="3"/>
  <c r="F519" i="3" s="1"/>
  <c r="B519" i="3"/>
  <c r="A519" i="3"/>
  <c r="I518" i="3"/>
  <c r="H518" i="3"/>
  <c r="G518" i="3"/>
  <c r="F518" i="3"/>
  <c r="E518" i="3"/>
  <c r="B518" i="3"/>
  <c r="A518" i="3"/>
  <c r="I517" i="3"/>
  <c r="H517" i="3"/>
  <c r="G517" i="3"/>
  <c r="F517" i="3"/>
  <c r="E517" i="3"/>
  <c r="B517" i="3"/>
  <c r="A517" i="3"/>
  <c r="I516" i="3"/>
  <c r="H516" i="3"/>
  <c r="G516" i="3"/>
  <c r="E516" i="3"/>
  <c r="B516" i="3"/>
  <c r="A516" i="3"/>
  <c r="I515" i="3"/>
  <c r="H515" i="3"/>
  <c r="G515" i="3"/>
  <c r="F515" i="3"/>
  <c r="E515" i="3"/>
  <c r="B515" i="3"/>
  <c r="A515" i="3"/>
  <c r="I514" i="3"/>
  <c r="H514" i="3"/>
  <c r="G514" i="3"/>
  <c r="F514" i="3"/>
  <c r="B514" i="3"/>
  <c r="A514" i="3"/>
  <c r="I513" i="3"/>
  <c r="H513" i="3"/>
  <c r="G513" i="3"/>
  <c r="F513" i="3"/>
  <c r="E513" i="3"/>
  <c r="B513" i="3"/>
  <c r="A513" i="3"/>
  <c r="I512" i="3"/>
  <c r="H512" i="3"/>
  <c r="G512" i="3"/>
  <c r="F512" i="3"/>
  <c r="E512" i="3"/>
  <c r="B512" i="3"/>
  <c r="A512" i="3"/>
  <c r="I511" i="3"/>
  <c r="H511" i="3"/>
  <c r="G511" i="3"/>
  <c r="F511" i="3"/>
  <c r="E511" i="3"/>
  <c r="B511" i="3"/>
  <c r="A511" i="3"/>
  <c r="I510" i="3"/>
  <c r="H510" i="3"/>
  <c r="F510" i="3"/>
  <c r="E510" i="3"/>
  <c r="B510" i="3"/>
  <c r="A510" i="3"/>
  <c r="I509" i="3"/>
  <c r="H509" i="3"/>
  <c r="G509" i="3"/>
  <c r="F509" i="3"/>
  <c r="E509" i="3"/>
  <c r="B509" i="3"/>
  <c r="A509" i="3"/>
  <c r="I508" i="3"/>
  <c r="H508" i="3"/>
  <c r="G508" i="3"/>
  <c r="F508" i="3"/>
  <c r="E508" i="3"/>
  <c r="B508" i="3"/>
  <c r="A508" i="3"/>
  <c r="I507" i="3"/>
  <c r="H507" i="3"/>
  <c r="G507" i="3"/>
  <c r="F507" i="3"/>
  <c r="E507" i="3"/>
  <c r="B507" i="3"/>
  <c r="A507" i="3"/>
  <c r="I506" i="3"/>
  <c r="H506" i="3"/>
  <c r="G506" i="3"/>
  <c r="F506" i="3"/>
  <c r="E506" i="3"/>
  <c r="B506" i="3"/>
  <c r="A506" i="3"/>
  <c r="I505" i="3"/>
  <c r="H505" i="3"/>
  <c r="G505" i="3"/>
  <c r="F505" i="3"/>
  <c r="E505" i="3"/>
  <c r="B505" i="3"/>
  <c r="A505" i="3"/>
  <c r="I504" i="3"/>
  <c r="H504" i="3"/>
  <c r="G504" i="3"/>
  <c r="F504" i="3"/>
  <c r="E504" i="3"/>
  <c r="B504" i="3"/>
  <c r="A504" i="3"/>
  <c r="I503" i="3"/>
  <c r="H503" i="3"/>
  <c r="G503" i="3"/>
  <c r="F503" i="3"/>
  <c r="E503" i="3"/>
  <c r="B503" i="3"/>
  <c r="A503" i="3"/>
  <c r="I502" i="3"/>
  <c r="H502" i="3"/>
  <c r="G502" i="3"/>
  <c r="F502" i="3"/>
  <c r="E502" i="3"/>
  <c r="B502" i="3"/>
  <c r="A502" i="3"/>
  <c r="I501" i="3"/>
  <c r="H501" i="3"/>
  <c r="G501" i="3"/>
  <c r="F501" i="3"/>
  <c r="E501" i="3"/>
  <c r="B501" i="3"/>
  <c r="A501" i="3"/>
  <c r="I500" i="3"/>
  <c r="H500" i="3"/>
  <c r="G500" i="3"/>
  <c r="F500" i="3"/>
  <c r="E500" i="3"/>
  <c r="B500" i="3"/>
  <c r="A500" i="3"/>
  <c r="H499" i="3"/>
  <c r="G499" i="3"/>
  <c r="F499" i="3"/>
  <c r="E499" i="3"/>
  <c r="B499" i="3"/>
  <c r="A499" i="3"/>
  <c r="I498" i="3"/>
  <c r="H498" i="3"/>
  <c r="G498" i="3"/>
  <c r="F498" i="3"/>
  <c r="E498" i="3"/>
  <c r="B498" i="3"/>
  <c r="A498" i="3"/>
  <c r="I497" i="3"/>
  <c r="H497" i="3"/>
  <c r="G497" i="3"/>
  <c r="F497" i="3"/>
  <c r="E497" i="3"/>
  <c r="B497" i="3"/>
  <c r="A497" i="3"/>
  <c r="I496" i="3"/>
  <c r="H496" i="3"/>
  <c r="G496" i="3"/>
  <c r="F496" i="3"/>
  <c r="E496" i="3"/>
  <c r="B496" i="3"/>
  <c r="A496" i="3"/>
  <c r="I495" i="3"/>
  <c r="H495" i="3"/>
  <c r="G495" i="3"/>
  <c r="F495" i="3"/>
  <c r="E495" i="3"/>
  <c r="B495" i="3"/>
  <c r="A495" i="3"/>
  <c r="I494" i="3"/>
  <c r="H494" i="3"/>
  <c r="G494" i="3"/>
  <c r="F494" i="3"/>
  <c r="B494" i="3"/>
  <c r="A494" i="3"/>
  <c r="I493" i="3"/>
  <c r="H493" i="3"/>
  <c r="G493" i="3"/>
  <c r="F493" i="3"/>
  <c r="E493" i="3"/>
  <c r="B493" i="3"/>
  <c r="A493" i="3"/>
  <c r="I492" i="3"/>
  <c r="H492" i="3"/>
  <c r="G492" i="3"/>
  <c r="F492" i="3"/>
  <c r="E492" i="3"/>
  <c r="J492" i="3" s="1"/>
  <c r="B492" i="3"/>
  <c r="A492" i="3"/>
  <c r="H491" i="3"/>
  <c r="G491" i="3"/>
  <c r="F491" i="3"/>
  <c r="E491" i="3"/>
  <c r="B491" i="3"/>
  <c r="A491" i="3"/>
  <c r="I490" i="3"/>
  <c r="H490" i="3"/>
  <c r="G490" i="3"/>
  <c r="F490" i="3"/>
  <c r="E490" i="3"/>
  <c r="B490" i="3"/>
  <c r="A490" i="3"/>
  <c r="I489" i="3"/>
  <c r="H489" i="3"/>
  <c r="G489" i="3"/>
  <c r="F489" i="3"/>
  <c r="E489" i="3"/>
  <c r="B489" i="3"/>
  <c r="A489" i="3"/>
  <c r="I488" i="3"/>
  <c r="H488" i="3"/>
  <c r="G488" i="3"/>
  <c r="F488" i="3"/>
  <c r="E488" i="3"/>
  <c r="B488" i="3"/>
  <c r="A488" i="3"/>
  <c r="I487" i="3"/>
  <c r="H487" i="3"/>
  <c r="G487" i="3"/>
  <c r="F487" i="3"/>
  <c r="E487" i="3"/>
  <c r="B487" i="3"/>
  <c r="A487" i="3"/>
  <c r="I486" i="3"/>
  <c r="H486" i="3"/>
  <c r="G486" i="3"/>
  <c r="F486" i="3"/>
  <c r="B486" i="3"/>
  <c r="A486" i="3"/>
  <c r="I485" i="3"/>
  <c r="H485" i="3"/>
  <c r="G485" i="3"/>
  <c r="F485" i="3"/>
  <c r="E485" i="3"/>
  <c r="B485" i="3"/>
  <c r="A485" i="3"/>
  <c r="I484" i="3"/>
  <c r="H484" i="3"/>
  <c r="G484" i="3"/>
  <c r="F484" i="3"/>
  <c r="E484" i="3"/>
  <c r="B484" i="3"/>
  <c r="A484" i="3"/>
  <c r="I483" i="3"/>
  <c r="H483" i="3"/>
  <c r="F483" i="3"/>
  <c r="E483" i="3"/>
  <c r="B483" i="3"/>
  <c r="A483" i="3"/>
  <c r="I482" i="3"/>
  <c r="H482" i="3"/>
  <c r="G482" i="3"/>
  <c r="F482" i="3"/>
  <c r="E482" i="3"/>
  <c r="B482" i="3"/>
  <c r="A482" i="3"/>
  <c r="I481" i="3"/>
  <c r="H481" i="3"/>
  <c r="G481" i="3"/>
  <c r="F481" i="3"/>
  <c r="E481" i="3"/>
  <c r="B481" i="3"/>
  <c r="A481" i="3"/>
  <c r="I480" i="3"/>
  <c r="H480" i="3"/>
  <c r="G480" i="3"/>
  <c r="F480" i="3"/>
  <c r="E480" i="3"/>
  <c r="B480" i="3"/>
  <c r="A480" i="3"/>
  <c r="I479" i="3"/>
  <c r="H479" i="3"/>
  <c r="G479" i="3"/>
  <c r="F479" i="3"/>
  <c r="E479" i="3"/>
  <c r="B479" i="3"/>
  <c r="A479" i="3"/>
  <c r="I478" i="3"/>
  <c r="H478" i="3"/>
  <c r="G478" i="3"/>
  <c r="F478" i="3"/>
  <c r="E478" i="3"/>
  <c r="B478" i="3"/>
  <c r="A478" i="3"/>
  <c r="I477" i="3"/>
  <c r="H477" i="3"/>
  <c r="G477" i="3"/>
  <c r="F477" i="3"/>
  <c r="E477" i="3"/>
  <c r="B477" i="3"/>
  <c r="A477" i="3"/>
  <c r="I476" i="3"/>
  <c r="H476" i="3"/>
  <c r="G476" i="3"/>
  <c r="F476" i="3"/>
  <c r="E476" i="3"/>
  <c r="B476" i="3"/>
  <c r="A476" i="3"/>
  <c r="I475" i="3"/>
  <c r="H475" i="3"/>
  <c r="G475" i="3"/>
  <c r="F475" i="3"/>
  <c r="E475" i="3"/>
  <c r="B475" i="3"/>
  <c r="A475" i="3"/>
  <c r="I474" i="3"/>
  <c r="H474" i="3"/>
  <c r="G474" i="3"/>
  <c r="F474" i="3"/>
  <c r="E474" i="3"/>
  <c r="B474" i="3"/>
  <c r="A474" i="3"/>
  <c r="I473" i="3"/>
  <c r="H473" i="3"/>
  <c r="G473" i="3"/>
  <c r="F473" i="3"/>
  <c r="E473" i="3"/>
  <c r="B473" i="3"/>
  <c r="A473" i="3"/>
  <c r="I472" i="3"/>
  <c r="H472" i="3"/>
  <c r="G472" i="3"/>
  <c r="E472" i="3"/>
  <c r="B472" i="3"/>
  <c r="A472" i="3"/>
  <c r="I471" i="3"/>
  <c r="H471" i="3"/>
  <c r="G471" i="3"/>
  <c r="F471" i="3"/>
  <c r="E471" i="3"/>
  <c r="B471" i="3"/>
  <c r="A471" i="3"/>
  <c r="I470" i="3"/>
  <c r="H470" i="3"/>
  <c r="G470" i="3"/>
  <c r="F470" i="3"/>
  <c r="E470" i="3"/>
  <c r="B470" i="3"/>
  <c r="A470" i="3"/>
  <c r="I469" i="3"/>
  <c r="H469" i="3"/>
  <c r="G469" i="3"/>
  <c r="F469" i="3"/>
  <c r="E469" i="3"/>
  <c r="B469" i="3"/>
  <c r="A469" i="3"/>
  <c r="I468" i="3"/>
  <c r="H468" i="3"/>
  <c r="G468" i="3"/>
  <c r="F468" i="3"/>
  <c r="E468" i="3"/>
  <c r="B468" i="3"/>
  <c r="A468" i="3"/>
  <c r="I467" i="3"/>
  <c r="H467" i="3"/>
  <c r="G467" i="3"/>
  <c r="F467" i="3"/>
  <c r="E467" i="3"/>
  <c r="B467" i="3"/>
  <c r="A467" i="3"/>
  <c r="I466" i="3"/>
  <c r="H466" i="3"/>
  <c r="G466" i="3"/>
  <c r="F466" i="3"/>
  <c r="E466" i="3"/>
  <c r="B466" i="3"/>
  <c r="A466" i="3"/>
  <c r="I465" i="3"/>
  <c r="H465" i="3"/>
  <c r="G465" i="3"/>
  <c r="F465" i="3"/>
  <c r="E465" i="3"/>
  <c r="B465" i="3"/>
  <c r="A465" i="3"/>
  <c r="I464" i="3"/>
  <c r="H464" i="3"/>
  <c r="F464" i="3"/>
  <c r="E464" i="3"/>
  <c r="B464" i="3"/>
  <c r="A464" i="3"/>
  <c r="I463" i="3"/>
  <c r="H463" i="3"/>
  <c r="G463" i="3"/>
  <c r="F463" i="3"/>
  <c r="E463" i="3"/>
  <c r="J463" i="3" s="1"/>
  <c r="B463" i="3"/>
  <c r="A463" i="3"/>
  <c r="I462" i="3"/>
  <c r="H462" i="3"/>
  <c r="G462" i="3"/>
  <c r="E462" i="3"/>
  <c r="B462" i="3"/>
  <c r="A462" i="3"/>
  <c r="H461" i="3"/>
  <c r="G461" i="3"/>
  <c r="F461" i="3"/>
  <c r="E461" i="3"/>
  <c r="B461" i="3"/>
  <c r="A461" i="3"/>
  <c r="I460" i="3"/>
  <c r="H460" i="3"/>
  <c r="G460" i="3"/>
  <c r="F460" i="3"/>
  <c r="E460" i="3"/>
  <c r="B460" i="3"/>
  <c r="A460" i="3"/>
  <c r="I459" i="3"/>
  <c r="H459" i="3"/>
  <c r="G459" i="3"/>
  <c r="F459" i="3"/>
  <c r="E459" i="3"/>
  <c r="B459" i="3"/>
  <c r="A459" i="3"/>
  <c r="I458" i="3"/>
  <c r="H458" i="3"/>
  <c r="G458" i="3"/>
  <c r="F458" i="3"/>
  <c r="E458" i="3"/>
  <c r="B458" i="3"/>
  <c r="A458" i="3"/>
  <c r="I457" i="3"/>
  <c r="H457" i="3"/>
  <c r="G457" i="3"/>
  <c r="F457" i="3"/>
  <c r="E457" i="3"/>
  <c r="B457" i="3"/>
  <c r="A457" i="3"/>
  <c r="I456" i="3"/>
  <c r="H456" i="3"/>
  <c r="G456" i="3"/>
  <c r="F456" i="3"/>
  <c r="E456" i="3"/>
  <c r="B456" i="3"/>
  <c r="A456" i="3"/>
  <c r="I455" i="3"/>
  <c r="H455" i="3"/>
  <c r="G455" i="3"/>
  <c r="F455" i="3"/>
  <c r="E455" i="3"/>
  <c r="B455" i="3"/>
  <c r="A455" i="3"/>
  <c r="I454" i="3"/>
  <c r="H454" i="3"/>
  <c r="G454" i="3"/>
  <c r="F454" i="3"/>
  <c r="E454" i="3"/>
  <c r="B454" i="3"/>
  <c r="A454" i="3"/>
  <c r="I453" i="3"/>
  <c r="H453" i="3"/>
  <c r="G453" i="3"/>
  <c r="F453" i="3"/>
  <c r="E453" i="3"/>
  <c r="B453" i="3"/>
  <c r="A453" i="3"/>
  <c r="I452" i="3"/>
  <c r="H452" i="3"/>
  <c r="F452" i="3"/>
  <c r="E452" i="3"/>
  <c r="B452" i="3"/>
  <c r="A452" i="3"/>
  <c r="I451" i="3"/>
  <c r="H451" i="3"/>
  <c r="G451" i="3"/>
  <c r="F451" i="3"/>
  <c r="E451" i="3"/>
  <c r="B451" i="3"/>
  <c r="A451" i="3"/>
  <c r="I450" i="3"/>
  <c r="H450" i="3"/>
  <c r="G450" i="3"/>
  <c r="F450" i="3"/>
  <c r="E450" i="3"/>
  <c r="B450" i="3"/>
  <c r="A450" i="3"/>
  <c r="I449" i="3"/>
  <c r="H449" i="3"/>
  <c r="G449" i="3"/>
  <c r="F449" i="3"/>
  <c r="E449" i="3"/>
  <c r="B449" i="3"/>
  <c r="A449" i="3"/>
  <c r="I448" i="3"/>
  <c r="H448" i="3"/>
  <c r="G448" i="3"/>
  <c r="F448" i="3"/>
  <c r="E448" i="3"/>
  <c r="B448" i="3"/>
  <c r="A448" i="3"/>
  <c r="I447" i="3"/>
  <c r="H447" i="3"/>
  <c r="G447" i="3"/>
  <c r="F447" i="3"/>
  <c r="E447" i="3"/>
  <c r="B447" i="3"/>
  <c r="A447" i="3"/>
  <c r="I446" i="3"/>
  <c r="H446" i="3"/>
  <c r="G446" i="3"/>
  <c r="F446" i="3"/>
  <c r="E446" i="3"/>
  <c r="B446" i="3"/>
  <c r="A446" i="3"/>
  <c r="I445" i="3"/>
  <c r="H445" i="3"/>
  <c r="G445" i="3"/>
  <c r="F445" i="3"/>
  <c r="E445" i="3"/>
  <c r="B445" i="3"/>
  <c r="A445" i="3"/>
  <c r="I444" i="3"/>
  <c r="H444" i="3"/>
  <c r="G444" i="3"/>
  <c r="F444" i="3"/>
  <c r="E444" i="3"/>
  <c r="B444" i="3"/>
  <c r="A444" i="3"/>
  <c r="I443" i="3"/>
  <c r="H443" i="3"/>
  <c r="G443" i="3"/>
  <c r="F443" i="3"/>
  <c r="E443" i="3"/>
  <c r="B443" i="3"/>
  <c r="A443" i="3"/>
  <c r="I442" i="3"/>
  <c r="H442" i="3"/>
  <c r="G442" i="3"/>
  <c r="E442" i="3"/>
  <c r="B442" i="3"/>
  <c r="A442" i="3"/>
  <c r="I441" i="3"/>
  <c r="H441" i="3"/>
  <c r="G441" i="3"/>
  <c r="F441" i="3"/>
  <c r="E441" i="3"/>
  <c r="B441" i="3"/>
  <c r="A441" i="3"/>
  <c r="I440" i="3"/>
  <c r="H440" i="3"/>
  <c r="G440" i="3"/>
  <c r="F440" i="3"/>
  <c r="E440" i="3"/>
  <c r="B440" i="3"/>
  <c r="A440" i="3"/>
  <c r="I439" i="3"/>
  <c r="H439" i="3"/>
  <c r="G439" i="3"/>
  <c r="F439" i="3"/>
  <c r="E439" i="3"/>
  <c r="B439" i="3"/>
  <c r="A439" i="3"/>
  <c r="H438" i="3"/>
  <c r="G438" i="3"/>
  <c r="F438" i="3"/>
  <c r="E438" i="3"/>
  <c r="B438" i="3"/>
  <c r="A438" i="3"/>
  <c r="I437" i="3"/>
  <c r="H437" i="3"/>
  <c r="G437" i="3"/>
  <c r="F437" i="3"/>
  <c r="E437" i="3"/>
  <c r="B437" i="3"/>
  <c r="A437" i="3"/>
  <c r="I436" i="3"/>
  <c r="H436" i="3"/>
  <c r="G436" i="3"/>
  <c r="F436" i="3"/>
  <c r="E436" i="3"/>
  <c r="B436" i="3"/>
  <c r="A436" i="3"/>
  <c r="I435" i="3"/>
  <c r="H435" i="3"/>
  <c r="G435" i="3"/>
  <c r="F435" i="3"/>
  <c r="E435" i="3"/>
  <c r="B435" i="3"/>
  <c r="A435" i="3"/>
  <c r="I434" i="3"/>
  <c r="H434" i="3"/>
  <c r="G434" i="3"/>
  <c r="F434" i="3"/>
  <c r="E434" i="3"/>
  <c r="B434" i="3"/>
  <c r="A434" i="3"/>
  <c r="I433" i="3"/>
  <c r="H433" i="3"/>
  <c r="G433" i="3"/>
  <c r="F433" i="3"/>
  <c r="E433" i="3"/>
  <c r="B433" i="3"/>
  <c r="A433" i="3"/>
  <c r="I432" i="3"/>
  <c r="H432" i="3"/>
  <c r="G432" i="3"/>
  <c r="F432" i="3"/>
  <c r="E432" i="3"/>
  <c r="B432" i="3"/>
  <c r="A432" i="3"/>
  <c r="I431" i="3"/>
  <c r="H431" i="3"/>
  <c r="G431" i="3"/>
  <c r="F431" i="3"/>
  <c r="E431" i="3"/>
  <c r="B431" i="3"/>
  <c r="A431" i="3"/>
  <c r="I430" i="3"/>
  <c r="H430" i="3"/>
  <c r="G430" i="3"/>
  <c r="F430" i="3"/>
  <c r="E430" i="3"/>
  <c r="B430" i="3"/>
  <c r="A430" i="3"/>
  <c r="I429" i="3"/>
  <c r="H429" i="3"/>
  <c r="F429" i="3"/>
  <c r="E429" i="3"/>
  <c r="B429" i="3"/>
  <c r="A429" i="3"/>
  <c r="I428" i="3"/>
  <c r="H428" i="3"/>
  <c r="G428" i="3"/>
  <c r="F428" i="3"/>
  <c r="E428" i="3"/>
  <c r="B428" i="3"/>
  <c r="A428" i="3"/>
  <c r="I427" i="3"/>
  <c r="H427" i="3"/>
  <c r="G427" i="3"/>
  <c r="F427" i="3"/>
  <c r="E427" i="3"/>
  <c r="B427" i="3"/>
  <c r="A427" i="3"/>
  <c r="I426" i="3"/>
  <c r="H426" i="3"/>
  <c r="G426" i="3"/>
  <c r="F426" i="3"/>
  <c r="E426" i="3"/>
  <c r="B426" i="3"/>
  <c r="A426" i="3"/>
  <c r="I425" i="3"/>
  <c r="H425" i="3"/>
  <c r="G425" i="3"/>
  <c r="F425" i="3"/>
  <c r="E425" i="3"/>
  <c r="B425" i="3"/>
  <c r="A425" i="3"/>
  <c r="I424" i="3"/>
  <c r="H424" i="3"/>
  <c r="G424" i="3"/>
  <c r="F424" i="3"/>
  <c r="E424" i="3"/>
  <c r="B424" i="3"/>
  <c r="A424" i="3"/>
  <c r="I423" i="3"/>
  <c r="H423" i="3"/>
  <c r="G423" i="3"/>
  <c r="F423" i="3"/>
  <c r="E423" i="3"/>
  <c r="B423" i="3"/>
  <c r="A423" i="3"/>
  <c r="I422" i="3"/>
  <c r="H422" i="3"/>
  <c r="G422" i="3"/>
  <c r="F422" i="3"/>
  <c r="E422" i="3"/>
  <c r="B422" i="3"/>
  <c r="A422" i="3"/>
  <c r="I421" i="3"/>
  <c r="H421" i="3"/>
  <c r="G421" i="3"/>
  <c r="F421" i="3"/>
  <c r="B421" i="3"/>
  <c r="A421" i="3"/>
  <c r="I420" i="3"/>
  <c r="H420" i="3"/>
  <c r="G420" i="3"/>
  <c r="F420" i="3"/>
  <c r="E420" i="3"/>
  <c r="B420" i="3"/>
  <c r="A420" i="3"/>
  <c r="I419" i="3"/>
  <c r="H419" i="3"/>
  <c r="G419" i="3"/>
  <c r="F419" i="3"/>
  <c r="E419" i="3"/>
  <c r="B419" i="3"/>
  <c r="A419" i="3"/>
  <c r="I418" i="3"/>
  <c r="H418" i="3"/>
  <c r="G418" i="3"/>
  <c r="F418" i="3"/>
  <c r="E418" i="3"/>
  <c r="B418" i="3"/>
  <c r="A418" i="3"/>
  <c r="I417" i="3"/>
  <c r="H417" i="3"/>
  <c r="G417" i="3"/>
  <c r="F417" i="3"/>
  <c r="E417" i="3"/>
  <c r="B417" i="3"/>
  <c r="A417" i="3"/>
  <c r="I416" i="3"/>
  <c r="H416" i="3"/>
  <c r="G416" i="3"/>
  <c r="F416" i="3"/>
  <c r="E416" i="3"/>
  <c r="B416" i="3"/>
  <c r="A416" i="3"/>
  <c r="I415" i="3"/>
  <c r="H415" i="3"/>
  <c r="G415" i="3"/>
  <c r="F415" i="3"/>
  <c r="E415" i="3"/>
  <c r="B415" i="3"/>
  <c r="A415" i="3"/>
  <c r="I414" i="3"/>
  <c r="H414" i="3"/>
  <c r="G414" i="3"/>
  <c r="F414" i="3"/>
  <c r="E414" i="3"/>
  <c r="B414" i="3"/>
  <c r="A414" i="3"/>
  <c r="I413" i="3"/>
  <c r="H413" i="3"/>
  <c r="G413" i="3"/>
  <c r="F413" i="3"/>
  <c r="E413" i="3"/>
  <c r="B413" i="3"/>
  <c r="A413" i="3"/>
  <c r="I412" i="3"/>
  <c r="H412" i="3"/>
  <c r="G412" i="3"/>
  <c r="F412" i="3"/>
  <c r="E412" i="3"/>
  <c r="B412" i="3"/>
  <c r="A412" i="3"/>
  <c r="I411" i="3"/>
  <c r="H411" i="3"/>
  <c r="G411" i="3"/>
  <c r="F411" i="3"/>
  <c r="E411" i="3"/>
  <c r="B411" i="3"/>
  <c r="A411" i="3"/>
  <c r="I410" i="3"/>
  <c r="H410" i="3"/>
  <c r="G410" i="3"/>
  <c r="F410" i="3"/>
  <c r="E410" i="3"/>
  <c r="B410" i="3"/>
  <c r="A410" i="3"/>
  <c r="I409" i="3"/>
  <c r="H409" i="3"/>
  <c r="G409" i="3"/>
  <c r="F409" i="3"/>
  <c r="E409" i="3"/>
  <c r="B409" i="3"/>
  <c r="A409" i="3"/>
  <c r="I408" i="3"/>
  <c r="H408" i="3"/>
  <c r="F408" i="3"/>
  <c r="E408" i="3"/>
  <c r="B408" i="3"/>
  <c r="A408" i="3"/>
  <c r="I407" i="3"/>
  <c r="H407" i="3"/>
  <c r="G407" i="3"/>
  <c r="F407" i="3"/>
  <c r="E407" i="3"/>
  <c r="B407" i="3"/>
  <c r="A407" i="3"/>
  <c r="I406" i="3"/>
  <c r="H406" i="3"/>
  <c r="G406" i="3"/>
  <c r="F406" i="3"/>
  <c r="E406" i="3"/>
  <c r="B406" i="3"/>
  <c r="A406" i="3"/>
  <c r="I405" i="3"/>
  <c r="H405" i="3"/>
  <c r="G405" i="3"/>
  <c r="F405" i="3"/>
  <c r="E405" i="3"/>
  <c r="B405" i="3"/>
  <c r="A405" i="3"/>
  <c r="H404" i="3"/>
  <c r="G404" i="3"/>
  <c r="F404" i="3"/>
  <c r="E404" i="3"/>
  <c r="B404" i="3"/>
  <c r="A404" i="3"/>
  <c r="I403" i="3"/>
  <c r="H403" i="3"/>
  <c r="G403" i="3"/>
  <c r="F403" i="3"/>
  <c r="E403" i="3"/>
  <c r="J403" i="3" s="1"/>
  <c r="B403" i="3"/>
  <c r="A403" i="3"/>
  <c r="I402" i="3"/>
  <c r="H402" i="3"/>
  <c r="G402" i="3"/>
  <c r="F402" i="3"/>
  <c r="E402" i="3"/>
  <c r="B402" i="3"/>
  <c r="A402" i="3"/>
  <c r="H401" i="3"/>
  <c r="G401" i="3"/>
  <c r="F401" i="3"/>
  <c r="E401" i="3"/>
  <c r="B401" i="3"/>
  <c r="A401" i="3"/>
  <c r="I400" i="3"/>
  <c r="H400" i="3"/>
  <c r="G400" i="3"/>
  <c r="F400" i="3"/>
  <c r="E400" i="3"/>
  <c r="B400" i="3"/>
  <c r="A400" i="3"/>
  <c r="I399" i="3"/>
  <c r="H399" i="3"/>
  <c r="G399" i="3"/>
  <c r="F399" i="3"/>
  <c r="E399" i="3"/>
  <c r="B399" i="3"/>
  <c r="A399" i="3"/>
  <c r="I398" i="3"/>
  <c r="H398" i="3"/>
  <c r="G398" i="3"/>
  <c r="F398" i="3"/>
  <c r="E398" i="3"/>
  <c r="B398" i="3"/>
  <c r="A398" i="3"/>
  <c r="I397" i="3"/>
  <c r="H397" i="3"/>
  <c r="F397" i="3"/>
  <c r="E397" i="3"/>
  <c r="B397" i="3"/>
  <c r="A397" i="3"/>
  <c r="I396" i="3"/>
  <c r="H396" i="3"/>
  <c r="G396" i="3"/>
  <c r="F396" i="3"/>
  <c r="E396" i="3"/>
  <c r="B396" i="3"/>
  <c r="A396" i="3"/>
  <c r="H395" i="3"/>
  <c r="G395" i="3"/>
  <c r="F395" i="3"/>
  <c r="E395" i="3"/>
  <c r="B395" i="3"/>
  <c r="A395" i="3"/>
  <c r="I394" i="3"/>
  <c r="H394" i="3"/>
  <c r="G394" i="3"/>
  <c r="F394" i="3"/>
  <c r="E394" i="3"/>
  <c r="B394" i="3"/>
  <c r="A394" i="3"/>
  <c r="I393" i="3"/>
  <c r="H393" i="3"/>
  <c r="G393" i="3"/>
  <c r="F393" i="3"/>
  <c r="E393" i="3"/>
  <c r="B393" i="3"/>
  <c r="A393" i="3"/>
  <c r="I392" i="3"/>
  <c r="H392" i="3"/>
  <c r="G392" i="3"/>
  <c r="F392" i="3"/>
  <c r="E392" i="3"/>
  <c r="B392" i="3"/>
  <c r="A392" i="3"/>
  <c r="H391" i="3"/>
  <c r="G391" i="3"/>
  <c r="F391" i="3"/>
  <c r="E391" i="3"/>
  <c r="I391" i="3"/>
  <c r="B391" i="3"/>
  <c r="A391" i="3"/>
  <c r="I390" i="3"/>
  <c r="H390" i="3"/>
  <c r="G390" i="3"/>
  <c r="F390" i="3"/>
  <c r="E390" i="3"/>
  <c r="B390" i="3"/>
  <c r="A390" i="3"/>
  <c r="I389" i="3"/>
  <c r="H389" i="3"/>
  <c r="G389" i="3"/>
  <c r="F389" i="3"/>
  <c r="E389" i="3"/>
  <c r="B389" i="3"/>
  <c r="A389" i="3"/>
  <c r="I388" i="3"/>
  <c r="H388" i="3"/>
  <c r="G388" i="3"/>
  <c r="F388" i="3"/>
  <c r="E388" i="3"/>
  <c r="B388" i="3"/>
  <c r="A388" i="3"/>
  <c r="I387" i="3"/>
  <c r="H387" i="3"/>
  <c r="G387" i="3"/>
  <c r="F387" i="3"/>
  <c r="E387" i="3"/>
  <c r="B387" i="3"/>
  <c r="A387" i="3"/>
  <c r="I386" i="3"/>
  <c r="H386" i="3"/>
  <c r="G386" i="3"/>
  <c r="F386" i="3"/>
  <c r="E386" i="3"/>
  <c r="B386" i="3"/>
  <c r="A386" i="3"/>
  <c r="I385" i="3"/>
  <c r="H385" i="3"/>
  <c r="G385" i="3"/>
  <c r="F385" i="3"/>
  <c r="E385" i="3"/>
  <c r="B385" i="3"/>
  <c r="A385" i="3"/>
  <c r="I384" i="3"/>
  <c r="H384" i="3"/>
  <c r="G384" i="3"/>
  <c r="F384" i="3"/>
  <c r="E384" i="3"/>
  <c r="B384" i="3"/>
  <c r="A384" i="3"/>
  <c r="I383" i="3"/>
  <c r="H383" i="3"/>
  <c r="G383" i="3"/>
  <c r="F383" i="3"/>
  <c r="E383" i="3"/>
  <c r="B383" i="3"/>
  <c r="A383" i="3"/>
  <c r="I382" i="3"/>
  <c r="H382" i="3"/>
  <c r="G382" i="3"/>
  <c r="F382" i="3"/>
  <c r="E382" i="3"/>
  <c r="B382" i="3"/>
  <c r="A382" i="3"/>
  <c r="I381" i="3"/>
  <c r="H381" i="3"/>
  <c r="G381" i="3"/>
  <c r="F381" i="3"/>
  <c r="E381" i="3"/>
  <c r="B381" i="3"/>
  <c r="A381" i="3"/>
  <c r="I380" i="3"/>
  <c r="H380" i="3"/>
  <c r="G380" i="3"/>
  <c r="F380" i="3"/>
  <c r="E380" i="3"/>
  <c r="B380" i="3"/>
  <c r="A380" i="3"/>
  <c r="H379" i="3"/>
  <c r="G379" i="3"/>
  <c r="F379" i="3"/>
  <c r="E379" i="3"/>
  <c r="B379" i="3"/>
  <c r="A379" i="3"/>
  <c r="I378" i="3"/>
  <c r="H378" i="3"/>
  <c r="G378" i="3"/>
  <c r="F378" i="3"/>
  <c r="E378" i="3"/>
  <c r="B378" i="3"/>
  <c r="A378" i="3"/>
  <c r="H377" i="3"/>
  <c r="G377" i="3"/>
  <c r="F377" i="3"/>
  <c r="E377" i="3"/>
  <c r="B377" i="3"/>
  <c r="A377" i="3"/>
  <c r="I376" i="3"/>
  <c r="H376" i="3"/>
  <c r="G376" i="3"/>
  <c r="F376" i="3"/>
  <c r="E376" i="3"/>
  <c r="B376" i="3"/>
  <c r="A376" i="3"/>
  <c r="I375" i="3"/>
  <c r="H375" i="3"/>
  <c r="G375" i="3"/>
  <c r="F375" i="3"/>
  <c r="E375" i="3"/>
  <c r="B375" i="3"/>
  <c r="A375" i="3"/>
  <c r="I374" i="3"/>
  <c r="H374" i="3"/>
  <c r="G374" i="3"/>
  <c r="F374" i="3"/>
  <c r="E374" i="3"/>
  <c r="B374" i="3"/>
  <c r="A374" i="3"/>
  <c r="I373" i="3"/>
  <c r="H373" i="3"/>
  <c r="G373" i="3"/>
  <c r="F373" i="3"/>
  <c r="E373" i="3"/>
  <c r="B373" i="3"/>
  <c r="A373" i="3"/>
  <c r="I372" i="3"/>
  <c r="H372" i="3"/>
  <c r="G372" i="3"/>
  <c r="F372" i="3"/>
  <c r="E372" i="3"/>
  <c r="B372" i="3"/>
  <c r="A372" i="3"/>
  <c r="I371" i="3"/>
  <c r="H371" i="3"/>
  <c r="G371" i="3"/>
  <c r="F371" i="3"/>
  <c r="B371" i="3"/>
  <c r="A371" i="3"/>
  <c r="I370" i="3"/>
  <c r="H370" i="3"/>
  <c r="G370" i="3"/>
  <c r="F370" i="3"/>
  <c r="E370" i="3"/>
  <c r="B370" i="3"/>
  <c r="A370" i="3"/>
  <c r="I369" i="3"/>
  <c r="H369" i="3"/>
  <c r="G369" i="3"/>
  <c r="F369" i="3"/>
  <c r="E369" i="3"/>
  <c r="B369" i="3"/>
  <c r="A369" i="3"/>
  <c r="I368" i="3"/>
  <c r="H368" i="3"/>
  <c r="G368" i="3"/>
  <c r="F368" i="3"/>
  <c r="B368" i="3"/>
  <c r="A368" i="3"/>
  <c r="I367" i="3"/>
  <c r="H367" i="3"/>
  <c r="G367" i="3"/>
  <c r="F367" i="3"/>
  <c r="E367" i="3"/>
  <c r="B367" i="3"/>
  <c r="A367" i="3"/>
  <c r="I366" i="3"/>
  <c r="H366" i="3"/>
  <c r="F366" i="3"/>
  <c r="E366" i="3"/>
  <c r="B366" i="3"/>
  <c r="A366" i="3"/>
  <c r="I365" i="3"/>
  <c r="H365" i="3"/>
  <c r="G365" i="3"/>
  <c r="E365" i="3"/>
  <c r="F365" i="3" s="1"/>
  <c r="B365" i="3"/>
  <c r="A365" i="3"/>
  <c r="I364" i="3"/>
  <c r="H364" i="3"/>
  <c r="G364" i="3"/>
  <c r="E364" i="3"/>
  <c r="B364" i="3"/>
  <c r="A364" i="3"/>
  <c r="I363" i="3"/>
  <c r="H363" i="3"/>
  <c r="G363" i="3"/>
  <c r="F363" i="3"/>
  <c r="E363" i="3"/>
  <c r="B363" i="3"/>
  <c r="A363" i="3"/>
  <c r="I362" i="3"/>
  <c r="H362" i="3"/>
  <c r="G362" i="3"/>
  <c r="F362" i="3"/>
  <c r="E362" i="3"/>
  <c r="B362" i="3"/>
  <c r="A362" i="3"/>
  <c r="I361" i="3"/>
  <c r="H361" i="3"/>
  <c r="G361" i="3"/>
  <c r="F361" i="3"/>
  <c r="E361" i="3"/>
  <c r="B361" i="3"/>
  <c r="A361" i="3"/>
  <c r="I360" i="3"/>
  <c r="H360" i="3"/>
  <c r="G360" i="3"/>
  <c r="F360" i="3"/>
  <c r="E360" i="3"/>
  <c r="B360" i="3"/>
  <c r="A360" i="3"/>
  <c r="I359" i="3"/>
  <c r="H359" i="3"/>
  <c r="G359" i="3"/>
  <c r="F359" i="3"/>
  <c r="E359" i="3"/>
  <c r="B359" i="3"/>
  <c r="A359" i="3"/>
  <c r="I358" i="3"/>
  <c r="H358" i="3"/>
  <c r="G358" i="3"/>
  <c r="E358" i="3"/>
  <c r="F358" i="3" s="1"/>
  <c r="B358" i="3"/>
  <c r="A358" i="3"/>
  <c r="I357" i="3"/>
  <c r="H357" i="3"/>
  <c r="G357" i="3"/>
  <c r="F357" i="3"/>
  <c r="E357" i="3"/>
  <c r="B357" i="3"/>
  <c r="A357" i="3"/>
  <c r="I356" i="3"/>
  <c r="H356" i="3"/>
  <c r="G356" i="3"/>
  <c r="F356" i="3"/>
  <c r="E356" i="3"/>
  <c r="B356" i="3"/>
  <c r="A356" i="3"/>
  <c r="I355" i="3"/>
  <c r="H355" i="3"/>
  <c r="G355" i="3"/>
  <c r="F355" i="3"/>
  <c r="E355" i="3"/>
  <c r="B355" i="3"/>
  <c r="A355" i="3"/>
  <c r="I354" i="3"/>
  <c r="H354" i="3"/>
  <c r="G354" i="3"/>
  <c r="E354" i="3"/>
  <c r="B354" i="3"/>
  <c r="A354" i="3"/>
  <c r="I353" i="3"/>
  <c r="H353" i="3"/>
  <c r="G353" i="3"/>
  <c r="F353" i="3"/>
  <c r="E353" i="3"/>
  <c r="B353" i="3"/>
  <c r="A353" i="3"/>
  <c r="I352" i="3"/>
  <c r="H352" i="3"/>
  <c r="G352" i="3"/>
  <c r="F352" i="3"/>
  <c r="E352" i="3"/>
  <c r="B352" i="3"/>
  <c r="A352" i="3"/>
  <c r="I351" i="3"/>
  <c r="H351" i="3"/>
  <c r="G351" i="3"/>
  <c r="F351" i="3"/>
  <c r="E351" i="3"/>
  <c r="B351" i="3"/>
  <c r="A351" i="3"/>
  <c r="I350" i="3"/>
  <c r="H350" i="3"/>
  <c r="G350" i="3"/>
  <c r="F350" i="3"/>
  <c r="E350" i="3"/>
  <c r="B350" i="3"/>
  <c r="A350" i="3"/>
  <c r="I349" i="3"/>
  <c r="H349" i="3"/>
  <c r="F349" i="3"/>
  <c r="E349" i="3"/>
  <c r="B349" i="3"/>
  <c r="A349" i="3"/>
  <c r="I348" i="3"/>
  <c r="H348" i="3"/>
  <c r="G348" i="3"/>
  <c r="F348" i="3"/>
  <c r="E348" i="3"/>
  <c r="B348" i="3"/>
  <c r="A348" i="3"/>
  <c r="I347" i="3"/>
  <c r="H347" i="3"/>
  <c r="G347" i="3"/>
  <c r="F347" i="3"/>
  <c r="E347" i="3"/>
  <c r="B347" i="3"/>
  <c r="A347" i="3"/>
  <c r="I346" i="3"/>
  <c r="H346" i="3"/>
  <c r="G346" i="3"/>
  <c r="F346" i="3"/>
  <c r="E346" i="3"/>
  <c r="J346" i="3" s="1"/>
  <c r="B346" i="3"/>
  <c r="A346" i="3"/>
  <c r="I345" i="3"/>
  <c r="H345" i="3"/>
  <c r="F345" i="3"/>
  <c r="E345" i="3"/>
  <c r="B345" i="3"/>
  <c r="A345" i="3"/>
  <c r="I344" i="3"/>
  <c r="H344" i="3"/>
  <c r="G344" i="3"/>
  <c r="F344" i="3"/>
  <c r="E344" i="3"/>
  <c r="B344" i="3"/>
  <c r="A344" i="3"/>
  <c r="I343" i="3"/>
  <c r="H343" i="3"/>
  <c r="G343" i="3"/>
  <c r="F343" i="3"/>
  <c r="E343" i="3"/>
  <c r="B343" i="3"/>
  <c r="A343" i="3"/>
  <c r="I342" i="3"/>
  <c r="H342" i="3"/>
  <c r="G342" i="3"/>
  <c r="F342" i="3"/>
  <c r="E342" i="3"/>
  <c r="B342" i="3"/>
  <c r="A342" i="3"/>
  <c r="H341" i="3"/>
  <c r="G341" i="3"/>
  <c r="F341" i="3"/>
  <c r="E341" i="3"/>
  <c r="B341" i="3"/>
  <c r="A341" i="3"/>
  <c r="I340" i="3"/>
  <c r="H340" i="3"/>
  <c r="G340" i="3"/>
  <c r="F340" i="3"/>
  <c r="B340" i="3"/>
  <c r="A340" i="3"/>
  <c r="I339" i="3"/>
  <c r="H339" i="3"/>
  <c r="G339" i="3"/>
  <c r="F339" i="3"/>
  <c r="E339" i="3"/>
  <c r="B339" i="3"/>
  <c r="A339" i="3"/>
  <c r="I338" i="3"/>
  <c r="H338" i="3"/>
  <c r="F338" i="3"/>
  <c r="E338" i="3"/>
  <c r="B338" i="3"/>
  <c r="A338" i="3"/>
  <c r="H337" i="3"/>
  <c r="G337" i="3"/>
  <c r="F337" i="3"/>
  <c r="E337" i="3"/>
  <c r="I337" i="3"/>
  <c r="B337" i="3"/>
  <c r="A337" i="3"/>
  <c r="H336" i="3"/>
  <c r="G336" i="3"/>
  <c r="F336" i="3"/>
  <c r="E336" i="3"/>
  <c r="B336" i="3"/>
  <c r="A336" i="3"/>
  <c r="I335" i="3"/>
  <c r="H335" i="3"/>
  <c r="G335" i="3"/>
  <c r="F335" i="3"/>
  <c r="B335" i="3"/>
  <c r="A335" i="3"/>
  <c r="H334" i="3"/>
  <c r="G334" i="3"/>
  <c r="F334" i="3"/>
  <c r="E334" i="3"/>
  <c r="B334" i="3"/>
  <c r="A334" i="3"/>
  <c r="I333" i="3"/>
  <c r="H333" i="3"/>
  <c r="G333" i="3"/>
  <c r="F333" i="3"/>
  <c r="E333" i="3"/>
  <c r="B333" i="3"/>
  <c r="A333" i="3"/>
  <c r="I332" i="3"/>
  <c r="H332" i="3"/>
  <c r="G332" i="3"/>
  <c r="F332" i="3"/>
  <c r="E332" i="3"/>
  <c r="B332" i="3"/>
  <c r="A332" i="3"/>
  <c r="I331" i="3"/>
  <c r="H331" i="3"/>
  <c r="F331" i="3"/>
  <c r="E331" i="3"/>
  <c r="B331" i="3"/>
  <c r="A331" i="3"/>
  <c r="I330" i="3"/>
  <c r="H330" i="3"/>
  <c r="G330" i="3"/>
  <c r="F330" i="3"/>
  <c r="B330" i="3"/>
  <c r="A330" i="3"/>
  <c r="I329" i="3"/>
  <c r="H329" i="3"/>
  <c r="F329" i="3"/>
  <c r="E329" i="3"/>
  <c r="B329" i="3"/>
  <c r="A329" i="3"/>
  <c r="I328" i="3"/>
  <c r="H328" i="3"/>
  <c r="G328" i="3"/>
  <c r="F328" i="3"/>
  <c r="E328" i="3"/>
  <c r="B328" i="3"/>
  <c r="A328" i="3"/>
  <c r="H327" i="3"/>
  <c r="G327" i="3"/>
  <c r="F327" i="3"/>
  <c r="E327" i="3"/>
  <c r="B327" i="3"/>
  <c r="A327" i="3"/>
  <c r="H326" i="3"/>
  <c r="G326" i="3"/>
  <c r="F326" i="3"/>
  <c r="E326" i="3"/>
  <c r="B326" i="3"/>
  <c r="A326" i="3"/>
  <c r="I325" i="3"/>
  <c r="H325" i="3"/>
  <c r="G325" i="3"/>
  <c r="F325" i="3"/>
  <c r="E325" i="3"/>
  <c r="B325" i="3"/>
  <c r="A325" i="3"/>
  <c r="I324" i="3"/>
  <c r="H324" i="3"/>
  <c r="G324" i="3"/>
  <c r="F324" i="3"/>
  <c r="E324" i="3"/>
  <c r="B324" i="3"/>
  <c r="A324" i="3"/>
  <c r="I323" i="3"/>
  <c r="H323" i="3"/>
  <c r="G323" i="3"/>
  <c r="E323" i="3"/>
  <c r="F323" i="3" s="1"/>
  <c r="B323" i="3"/>
  <c r="A323" i="3"/>
  <c r="I322" i="3"/>
  <c r="H322" i="3"/>
  <c r="G322" i="3"/>
  <c r="F322" i="3"/>
  <c r="E322" i="3"/>
  <c r="B322" i="3"/>
  <c r="A322" i="3"/>
  <c r="I321" i="3"/>
  <c r="H321" i="3"/>
  <c r="G321" i="3"/>
  <c r="F321" i="3"/>
  <c r="E321" i="3"/>
  <c r="B321" i="3"/>
  <c r="A321" i="3"/>
  <c r="I320" i="3"/>
  <c r="H320" i="3"/>
  <c r="G320" i="3"/>
  <c r="F320" i="3"/>
  <c r="E320" i="3"/>
  <c r="B320" i="3"/>
  <c r="A320" i="3"/>
  <c r="I319" i="3"/>
  <c r="H319" i="3"/>
  <c r="G319" i="3"/>
  <c r="F319" i="3"/>
  <c r="E319" i="3"/>
  <c r="B319" i="3"/>
  <c r="A319" i="3"/>
  <c r="I318" i="3"/>
  <c r="H318" i="3"/>
  <c r="G318" i="3"/>
  <c r="E318" i="3"/>
  <c r="F318" i="3" s="1"/>
  <c r="B318" i="3"/>
  <c r="A318" i="3"/>
  <c r="I317" i="3"/>
  <c r="H317" i="3"/>
  <c r="G317" i="3"/>
  <c r="F317" i="3"/>
  <c r="E317" i="3"/>
  <c r="B317" i="3"/>
  <c r="A317" i="3"/>
  <c r="I316" i="3"/>
  <c r="H316" i="3"/>
  <c r="G316" i="3"/>
  <c r="F316" i="3"/>
  <c r="E316" i="3"/>
  <c r="B316" i="3"/>
  <c r="A316" i="3"/>
  <c r="I315" i="3"/>
  <c r="H315" i="3"/>
  <c r="G315" i="3"/>
  <c r="F315" i="3"/>
  <c r="E315" i="3"/>
  <c r="B315" i="3"/>
  <c r="A315" i="3"/>
  <c r="I314" i="3"/>
  <c r="H314" i="3"/>
  <c r="G314" i="3"/>
  <c r="E314" i="3"/>
  <c r="B314" i="3"/>
  <c r="A314" i="3"/>
  <c r="I313" i="3"/>
  <c r="H313" i="3"/>
  <c r="G313" i="3"/>
  <c r="F313" i="3"/>
  <c r="B313" i="3"/>
  <c r="A313" i="3"/>
  <c r="I312" i="3"/>
  <c r="H312" i="3"/>
  <c r="G312" i="3"/>
  <c r="F312" i="3"/>
  <c r="E312" i="3"/>
  <c r="B312" i="3"/>
  <c r="A312" i="3"/>
  <c r="I311" i="3"/>
  <c r="H311" i="3"/>
  <c r="G311" i="3"/>
  <c r="F311" i="3"/>
  <c r="E311" i="3"/>
  <c r="B311" i="3"/>
  <c r="A311" i="3"/>
  <c r="I310" i="3"/>
  <c r="H310" i="3"/>
  <c r="G310" i="3"/>
  <c r="F310" i="3"/>
  <c r="E310" i="3"/>
  <c r="B310" i="3"/>
  <c r="A310" i="3"/>
  <c r="I309" i="3"/>
  <c r="H309" i="3"/>
  <c r="G309" i="3"/>
  <c r="F309" i="3"/>
  <c r="E309" i="3"/>
  <c r="B309" i="3"/>
  <c r="A309" i="3"/>
  <c r="I308" i="3"/>
  <c r="H308" i="3"/>
  <c r="G308" i="3"/>
  <c r="F308" i="3"/>
  <c r="E308" i="3"/>
  <c r="B308" i="3"/>
  <c r="A308" i="3"/>
  <c r="I307" i="3"/>
  <c r="H307" i="3"/>
  <c r="G307" i="3"/>
  <c r="F307" i="3"/>
  <c r="E307" i="3"/>
  <c r="B307" i="3"/>
  <c r="A307" i="3"/>
  <c r="I306" i="3"/>
  <c r="H306" i="3"/>
  <c r="G306" i="3"/>
  <c r="F306" i="3"/>
  <c r="E306" i="3"/>
  <c r="B306" i="3"/>
  <c r="A306" i="3"/>
  <c r="H305" i="3"/>
  <c r="G305" i="3"/>
  <c r="F305" i="3"/>
  <c r="E305" i="3"/>
  <c r="B305" i="3"/>
  <c r="A305" i="3"/>
  <c r="I304" i="3"/>
  <c r="H304" i="3"/>
  <c r="G304" i="3"/>
  <c r="F304" i="3"/>
  <c r="E304" i="3"/>
  <c r="B304" i="3"/>
  <c r="A304" i="3"/>
  <c r="I303" i="3"/>
  <c r="H303" i="3"/>
  <c r="F303" i="3"/>
  <c r="E303" i="3"/>
  <c r="B303" i="3"/>
  <c r="A303" i="3"/>
  <c r="I302" i="3"/>
  <c r="H302" i="3"/>
  <c r="G302" i="3"/>
  <c r="E302" i="3"/>
  <c r="F302" i="3" s="1"/>
  <c r="B302" i="3"/>
  <c r="A302" i="3"/>
  <c r="I301" i="3"/>
  <c r="H301" i="3"/>
  <c r="G301" i="3"/>
  <c r="F301" i="3"/>
  <c r="E301" i="3"/>
  <c r="B301" i="3"/>
  <c r="A301" i="3"/>
  <c r="I300" i="3"/>
  <c r="H300" i="3"/>
  <c r="G300" i="3"/>
  <c r="F300" i="3"/>
  <c r="E300" i="3"/>
  <c r="B300" i="3"/>
  <c r="A300" i="3"/>
  <c r="I299" i="3"/>
  <c r="H299" i="3"/>
  <c r="G299" i="3"/>
  <c r="F299" i="3"/>
  <c r="E299" i="3"/>
  <c r="B299" i="3"/>
  <c r="A299" i="3"/>
  <c r="I298" i="3"/>
  <c r="H298" i="3"/>
  <c r="G298" i="3"/>
  <c r="F298" i="3"/>
  <c r="E298" i="3"/>
  <c r="B298" i="3"/>
  <c r="A298" i="3"/>
  <c r="I297" i="3"/>
  <c r="H297" i="3"/>
  <c r="F297" i="3"/>
  <c r="E297" i="3"/>
  <c r="B297" i="3"/>
  <c r="A297" i="3"/>
  <c r="I296" i="3"/>
  <c r="H296" i="3"/>
  <c r="G296" i="3"/>
  <c r="F296" i="3"/>
  <c r="E296" i="3"/>
  <c r="B296" i="3"/>
  <c r="A296" i="3"/>
  <c r="I295" i="3"/>
  <c r="H295" i="3"/>
  <c r="F295" i="3"/>
  <c r="E295" i="3"/>
  <c r="B295" i="3"/>
  <c r="A295" i="3"/>
  <c r="I294" i="3"/>
  <c r="H294" i="3"/>
  <c r="G294" i="3"/>
  <c r="F294" i="3"/>
  <c r="E294" i="3"/>
  <c r="B294" i="3"/>
  <c r="A294" i="3"/>
  <c r="I293" i="3"/>
  <c r="H293" i="3"/>
  <c r="G293" i="3"/>
  <c r="F293" i="3"/>
  <c r="E293" i="3"/>
  <c r="B293" i="3"/>
  <c r="A293" i="3"/>
  <c r="H292" i="3"/>
  <c r="G292" i="3"/>
  <c r="F292" i="3"/>
  <c r="E292" i="3"/>
  <c r="B292" i="3"/>
  <c r="A292" i="3"/>
  <c r="I291" i="3"/>
  <c r="H291" i="3"/>
  <c r="G291" i="3"/>
  <c r="F291" i="3"/>
  <c r="E291" i="3"/>
  <c r="B291" i="3"/>
  <c r="A291" i="3"/>
  <c r="I290" i="3"/>
  <c r="H290" i="3"/>
  <c r="G290" i="3"/>
  <c r="F290" i="3"/>
  <c r="E290" i="3"/>
  <c r="B290" i="3"/>
  <c r="A290" i="3"/>
  <c r="I289" i="3"/>
  <c r="H289" i="3"/>
  <c r="G289" i="3"/>
  <c r="F289" i="3"/>
  <c r="E289" i="3"/>
  <c r="B289" i="3"/>
  <c r="A289" i="3"/>
  <c r="I288" i="3"/>
  <c r="H288" i="3"/>
  <c r="G288" i="3"/>
  <c r="F288" i="3"/>
  <c r="E288" i="3"/>
  <c r="B288" i="3"/>
  <c r="A288" i="3"/>
  <c r="I287" i="3"/>
  <c r="H287" i="3"/>
  <c r="G287" i="3"/>
  <c r="F287" i="3"/>
  <c r="E287" i="3"/>
  <c r="B287" i="3"/>
  <c r="A287" i="3"/>
  <c r="I286" i="3"/>
  <c r="H286" i="3"/>
  <c r="G286" i="3"/>
  <c r="F286" i="3"/>
  <c r="E286" i="3"/>
  <c r="B286" i="3"/>
  <c r="A286" i="3"/>
  <c r="I285" i="3"/>
  <c r="H285" i="3"/>
  <c r="G285" i="3"/>
  <c r="F285" i="3"/>
  <c r="B285" i="3"/>
  <c r="A285" i="3"/>
  <c r="I284" i="3"/>
  <c r="H284" i="3"/>
  <c r="G284" i="3"/>
  <c r="F284" i="3"/>
  <c r="B284" i="3"/>
  <c r="A284" i="3"/>
  <c r="I283" i="3"/>
  <c r="H283" i="3"/>
  <c r="G283" i="3"/>
  <c r="F283" i="3"/>
  <c r="E283" i="3"/>
  <c r="B283" i="3"/>
  <c r="A283" i="3"/>
  <c r="I282" i="3"/>
  <c r="H282" i="3"/>
  <c r="G282" i="3"/>
  <c r="F282" i="3"/>
  <c r="B282" i="3"/>
  <c r="A282" i="3"/>
  <c r="I281" i="3"/>
  <c r="H281" i="3"/>
  <c r="G281" i="3"/>
  <c r="F281" i="3"/>
  <c r="E281" i="3"/>
  <c r="B281" i="3"/>
  <c r="A281" i="3"/>
  <c r="I280" i="3"/>
  <c r="H280" i="3"/>
  <c r="G280" i="3"/>
  <c r="F280" i="3"/>
  <c r="E280" i="3"/>
  <c r="B280" i="3"/>
  <c r="A280" i="3"/>
  <c r="I279" i="3"/>
  <c r="H279" i="3"/>
  <c r="G279" i="3"/>
  <c r="F279" i="3"/>
  <c r="E279" i="3"/>
  <c r="B279" i="3"/>
  <c r="A279" i="3"/>
  <c r="I278" i="3"/>
  <c r="H278" i="3"/>
  <c r="G278" i="3"/>
  <c r="F278" i="3"/>
  <c r="E278" i="3"/>
  <c r="B278" i="3"/>
  <c r="A278" i="3"/>
  <c r="H277" i="3"/>
  <c r="G277" i="3"/>
  <c r="F277" i="3"/>
  <c r="E277" i="3"/>
  <c r="I277" i="3"/>
  <c r="B277" i="3"/>
  <c r="A277" i="3"/>
  <c r="I276" i="3"/>
  <c r="H276" i="3"/>
  <c r="G276" i="3"/>
  <c r="F276" i="3"/>
  <c r="E276" i="3"/>
  <c r="B276" i="3"/>
  <c r="A276" i="3"/>
  <c r="I275" i="3"/>
  <c r="H275" i="3"/>
  <c r="G275" i="3"/>
  <c r="F275" i="3"/>
  <c r="E275" i="3"/>
  <c r="B275" i="3"/>
  <c r="A275" i="3"/>
  <c r="I274" i="3"/>
  <c r="H274" i="3"/>
  <c r="G274" i="3"/>
  <c r="F274" i="3"/>
  <c r="E274" i="3"/>
  <c r="B274" i="3"/>
  <c r="A274" i="3"/>
  <c r="I273" i="3"/>
  <c r="H273" i="3"/>
  <c r="G273" i="3"/>
  <c r="F273" i="3"/>
  <c r="E273" i="3"/>
  <c r="B273" i="3"/>
  <c r="A273" i="3"/>
  <c r="I272" i="3"/>
  <c r="H272" i="3"/>
  <c r="G272" i="3"/>
  <c r="F272" i="3"/>
  <c r="E272" i="3"/>
  <c r="B272" i="3"/>
  <c r="A272" i="3"/>
  <c r="I271" i="3"/>
  <c r="H271" i="3"/>
  <c r="G271" i="3"/>
  <c r="F271" i="3"/>
  <c r="E271" i="3"/>
  <c r="B271" i="3"/>
  <c r="A271" i="3"/>
  <c r="H270" i="3"/>
  <c r="G270" i="3"/>
  <c r="F270" i="3"/>
  <c r="E270" i="3"/>
  <c r="B270" i="3"/>
  <c r="A270" i="3"/>
  <c r="I269" i="3"/>
  <c r="H269" i="3"/>
  <c r="F269" i="3"/>
  <c r="E269" i="3"/>
  <c r="B269" i="3"/>
  <c r="A269" i="3"/>
  <c r="I268" i="3"/>
  <c r="H268" i="3"/>
  <c r="G268" i="3"/>
  <c r="F268" i="3"/>
  <c r="E268" i="3"/>
  <c r="B268" i="3"/>
  <c r="A268" i="3"/>
  <c r="I267" i="3"/>
  <c r="H267" i="3"/>
  <c r="G267" i="3"/>
  <c r="F267" i="3"/>
  <c r="B267" i="3"/>
  <c r="A267" i="3"/>
  <c r="I266" i="3"/>
  <c r="H266" i="3"/>
  <c r="G266" i="3"/>
  <c r="F266" i="3"/>
  <c r="E266" i="3"/>
  <c r="B266" i="3"/>
  <c r="A266" i="3"/>
  <c r="I265" i="3"/>
  <c r="H265" i="3"/>
  <c r="G265" i="3"/>
  <c r="F265" i="3"/>
  <c r="E265" i="3"/>
  <c r="B265" i="3"/>
  <c r="A265" i="3"/>
  <c r="I264" i="3"/>
  <c r="H264" i="3"/>
  <c r="G264" i="3"/>
  <c r="F264" i="3"/>
  <c r="E264" i="3"/>
  <c r="B264" i="3"/>
  <c r="A264" i="3"/>
  <c r="I263" i="3"/>
  <c r="H263" i="3"/>
  <c r="G263" i="3"/>
  <c r="F263" i="3"/>
  <c r="E263" i="3"/>
  <c r="B263" i="3"/>
  <c r="A263" i="3"/>
  <c r="I262" i="3"/>
  <c r="H262" i="3"/>
  <c r="G262" i="3"/>
  <c r="F262" i="3"/>
  <c r="E262" i="3"/>
  <c r="B262" i="3"/>
  <c r="A262" i="3"/>
  <c r="I261" i="3"/>
  <c r="H261" i="3"/>
  <c r="G261" i="3"/>
  <c r="F261" i="3"/>
  <c r="B261" i="3"/>
  <c r="A261" i="3"/>
  <c r="I260" i="3"/>
  <c r="H260" i="3"/>
  <c r="G260" i="3"/>
  <c r="F260" i="3"/>
  <c r="E260" i="3"/>
  <c r="B260" i="3"/>
  <c r="A260" i="3"/>
  <c r="I259" i="3"/>
  <c r="H259" i="3"/>
  <c r="G259" i="3"/>
  <c r="F259" i="3"/>
  <c r="E259" i="3"/>
  <c r="B259" i="3"/>
  <c r="A259" i="3"/>
  <c r="H258" i="3"/>
  <c r="G258" i="3"/>
  <c r="F258" i="3"/>
  <c r="E258" i="3"/>
  <c r="B258" i="3"/>
  <c r="A258" i="3"/>
  <c r="I257" i="3"/>
  <c r="H257" i="3"/>
  <c r="G257" i="3"/>
  <c r="F257" i="3"/>
  <c r="E257" i="3"/>
  <c r="B257" i="3"/>
  <c r="A257" i="3"/>
  <c r="I256" i="3"/>
  <c r="H256" i="3"/>
  <c r="F256" i="3"/>
  <c r="E256" i="3"/>
  <c r="B256" i="3"/>
  <c r="A256" i="3"/>
  <c r="H255" i="3"/>
  <c r="G255" i="3"/>
  <c r="F255" i="3"/>
  <c r="E255" i="3"/>
  <c r="B255" i="3"/>
  <c r="A255" i="3"/>
  <c r="I254" i="3"/>
  <c r="H254" i="3"/>
  <c r="F254" i="3"/>
  <c r="E254" i="3"/>
  <c r="B254" i="3"/>
  <c r="A254" i="3"/>
  <c r="I253" i="3"/>
  <c r="H253" i="3"/>
  <c r="G253" i="3"/>
  <c r="E253" i="3"/>
  <c r="F253" i="3" s="1"/>
  <c r="B253" i="3"/>
  <c r="A253" i="3"/>
  <c r="I252" i="3"/>
  <c r="H252" i="3"/>
  <c r="G252" i="3"/>
  <c r="F252" i="3"/>
  <c r="E252" i="3"/>
  <c r="B252" i="3"/>
  <c r="A252" i="3"/>
  <c r="I251" i="3"/>
  <c r="H251" i="3"/>
  <c r="G251" i="3"/>
  <c r="F251" i="3"/>
  <c r="E251" i="3"/>
  <c r="B251" i="3"/>
  <c r="A251" i="3"/>
  <c r="I250" i="3"/>
  <c r="H250" i="3"/>
  <c r="G250" i="3"/>
  <c r="F250" i="3"/>
  <c r="E250" i="3"/>
  <c r="B250" i="3"/>
  <c r="A250" i="3"/>
  <c r="I249" i="3"/>
  <c r="H249" i="3"/>
  <c r="G249" i="3"/>
  <c r="F249" i="3"/>
  <c r="E249" i="3"/>
  <c r="B249" i="3"/>
  <c r="A249" i="3"/>
  <c r="I248" i="3"/>
  <c r="H248" i="3"/>
  <c r="F248" i="3"/>
  <c r="E248" i="3"/>
  <c r="B248" i="3"/>
  <c r="A248" i="3"/>
  <c r="I247" i="3"/>
  <c r="H247" i="3"/>
  <c r="F247" i="3"/>
  <c r="E247" i="3"/>
  <c r="B247" i="3"/>
  <c r="A247" i="3"/>
  <c r="H246" i="3"/>
  <c r="G246" i="3"/>
  <c r="F246" i="3"/>
  <c r="E246" i="3"/>
  <c r="B246" i="3"/>
  <c r="A246" i="3"/>
  <c r="H245" i="3"/>
  <c r="G245" i="3"/>
  <c r="F245" i="3"/>
  <c r="E245" i="3"/>
  <c r="I245" i="3"/>
  <c r="B245" i="3"/>
  <c r="A245" i="3"/>
  <c r="I244" i="3"/>
  <c r="H244" i="3"/>
  <c r="F244" i="3"/>
  <c r="E244" i="3"/>
  <c r="B244" i="3"/>
  <c r="A244" i="3"/>
  <c r="I243" i="3"/>
  <c r="H243" i="3"/>
  <c r="G243" i="3"/>
  <c r="F243" i="3"/>
  <c r="E243" i="3"/>
  <c r="B243" i="3"/>
  <c r="A243" i="3"/>
  <c r="I242" i="3"/>
  <c r="H242" i="3"/>
  <c r="G242" i="3"/>
  <c r="F242" i="3"/>
  <c r="E242" i="3"/>
  <c r="B242" i="3"/>
  <c r="A242" i="3"/>
  <c r="I241" i="3"/>
  <c r="H241" i="3"/>
  <c r="G241" i="3"/>
  <c r="F241" i="3"/>
  <c r="E241" i="3"/>
  <c r="B241" i="3"/>
  <c r="A241" i="3"/>
  <c r="I240" i="3"/>
  <c r="H240" i="3"/>
  <c r="G240" i="3"/>
  <c r="F240" i="3"/>
  <c r="E240" i="3"/>
  <c r="B240" i="3"/>
  <c r="A240" i="3"/>
  <c r="I239" i="3"/>
  <c r="H239" i="3"/>
  <c r="G239" i="3"/>
  <c r="F239" i="3"/>
  <c r="E239" i="3"/>
  <c r="B239" i="3"/>
  <c r="A239" i="3"/>
  <c r="I238" i="3"/>
  <c r="H238" i="3"/>
  <c r="G238" i="3"/>
  <c r="F238" i="3"/>
  <c r="E238" i="3"/>
  <c r="B238" i="3"/>
  <c r="A238" i="3"/>
  <c r="I237" i="3"/>
  <c r="H237" i="3"/>
  <c r="G237" i="3"/>
  <c r="F237" i="3"/>
  <c r="E237" i="3"/>
  <c r="B237" i="3"/>
  <c r="A237" i="3"/>
  <c r="H236" i="3"/>
  <c r="G236" i="3"/>
  <c r="F236" i="3"/>
  <c r="E236" i="3"/>
  <c r="B236" i="3"/>
  <c r="A236" i="3"/>
  <c r="I235" i="3"/>
  <c r="H235" i="3"/>
  <c r="G235" i="3"/>
  <c r="F235" i="3"/>
  <c r="E235" i="3"/>
  <c r="B235" i="3"/>
  <c r="A235" i="3"/>
  <c r="I234" i="3"/>
  <c r="H234" i="3"/>
  <c r="G234" i="3"/>
  <c r="E234" i="3"/>
  <c r="B234" i="3"/>
  <c r="A234" i="3"/>
  <c r="I233" i="3"/>
  <c r="H233" i="3"/>
  <c r="G233" i="3"/>
  <c r="F233" i="3"/>
  <c r="E233" i="3"/>
  <c r="B233" i="3"/>
  <c r="A233" i="3"/>
  <c r="I232" i="3"/>
  <c r="H232" i="3"/>
  <c r="G232" i="3"/>
  <c r="F232" i="3"/>
  <c r="B232" i="3"/>
  <c r="A232" i="3"/>
  <c r="I231" i="3"/>
  <c r="H231" i="3"/>
  <c r="G231" i="3"/>
  <c r="F231" i="3"/>
  <c r="E231" i="3"/>
  <c r="B231" i="3"/>
  <c r="A231" i="3"/>
  <c r="I230" i="3"/>
  <c r="H230" i="3"/>
  <c r="G230" i="3"/>
  <c r="F230" i="3"/>
  <c r="E230" i="3"/>
  <c r="B230" i="3"/>
  <c r="A230" i="3"/>
  <c r="I229" i="3"/>
  <c r="H229" i="3"/>
  <c r="G229" i="3"/>
  <c r="F229" i="3"/>
  <c r="E229" i="3"/>
  <c r="B229" i="3"/>
  <c r="A229" i="3"/>
  <c r="I228" i="3"/>
  <c r="H228" i="3"/>
  <c r="G228" i="3"/>
  <c r="F228" i="3"/>
  <c r="B228" i="3"/>
  <c r="A228" i="3"/>
  <c r="I227" i="3"/>
  <c r="H227" i="3"/>
  <c r="G227" i="3"/>
  <c r="F227" i="3"/>
  <c r="E227" i="3"/>
  <c r="B227" i="3"/>
  <c r="A227" i="3"/>
  <c r="I226" i="3"/>
  <c r="H226" i="3"/>
  <c r="G226" i="3"/>
  <c r="F226" i="3"/>
  <c r="E226" i="3"/>
  <c r="B226" i="3"/>
  <c r="A226" i="3"/>
  <c r="I225" i="3"/>
  <c r="H225" i="3"/>
  <c r="G225" i="3"/>
  <c r="F225" i="3"/>
  <c r="E225" i="3"/>
  <c r="B225" i="3"/>
  <c r="A225" i="3"/>
  <c r="H224" i="3"/>
  <c r="G224" i="3"/>
  <c r="F224" i="3"/>
  <c r="E224" i="3"/>
  <c r="B224" i="3"/>
  <c r="A224" i="3"/>
  <c r="I223" i="3"/>
  <c r="H223" i="3"/>
  <c r="G223" i="3"/>
  <c r="F223" i="3"/>
  <c r="E223" i="3"/>
  <c r="B223" i="3"/>
  <c r="A223" i="3"/>
  <c r="I222" i="3"/>
  <c r="H222" i="3"/>
  <c r="G222" i="3"/>
  <c r="F222" i="3"/>
  <c r="E222" i="3"/>
  <c r="B222" i="3"/>
  <c r="A222" i="3"/>
  <c r="I221" i="3"/>
  <c r="H221" i="3"/>
  <c r="G221" i="3"/>
  <c r="F221" i="3"/>
  <c r="B221" i="3"/>
  <c r="A221" i="3"/>
  <c r="I220" i="3"/>
  <c r="H220" i="3"/>
  <c r="G220" i="3"/>
  <c r="F220" i="3"/>
  <c r="E220" i="3"/>
  <c r="B220" i="3"/>
  <c r="A220" i="3"/>
  <c r="I219" i="3"/>
  <c r="H219" i="3"/>
  <c r="G219" i="3"/>
  <c r="F219" i="3"/>
  <c r="E219" i="3"/>
  <c r="B219" i="3"/>
  <c r="A219" i="3"/>
  <c r="I218" i="3"/>
  <c r="H218" i="3"/>
  <c r="G218" i="3"/>
  <c r="E218" i="3"/>
  <c r="B218" i="3"/>
  <c r="A218" i="3"/>
  <c r="I217" i="3"/>
  <c r="H217" i="3"/>
  <c r="G217" i="3"/>
  <c r="F217" i="3"/>
  <c r="B217" i="3"/>
  <c r="A217" i="3"/>
  <c r="I216" i="3"/>
  <c r="H216" i="3"/>
  <c r="G216" i="3"/>
  <c r="F216" i="3"/>
  <c r="E216" i="3"/>
  <c r="B216" i="3"/>
  <c r="A216" i="3"/>
  <c r="I215" i="3"/>
  <c r="H215" i="3"/>
  <c r="G215" i="3"/>
  <c r="F215" i="3"/>
  <c r="E215" i="3"/>
  <c r="B215" i="3"/>
  <c r="A215" i="3"/>
  <c r="I214" i="3"/>
  <c r="H214" i="3"/>
  <c r="G214" i="3"/>
  <c r="F214" i="3"/>
  <c r="E214" i="3"/>
  <c r="B214" i="3"/>
  <c r="A214" i="3"/>
  <c r="I213" i="3"/>
  <c r="H213" i="3"/>
  <c r="G213" i="3"/>
  <c r="F213" i="3"/>
  <c r="E213" i="3"/>
  <c r="B213" i="3"/>
  <c r="A213" i="3"/>
  <c r="I212" i="3"/>
  <c r="H212" i="3"/>
  <c r="G212" i="3"/>
  <c r="F212" i="3"/>
  <c r="E212" i="3"/>
  <c r="B212" i="3"/>
  <c r="A212" i="3"/>
  <c r="I211" i="3"/>
  <c r="H211" i="3"/>
  <c r="G211" i="3"/>
  <c r="F211" i="3"/>
  <c r="E211" i="3"/>
  <c r="B211" i="3"/>
  <c r="A211" i="3"/>
  <c r="I210" i="3"/>
  <c r="H210" i="3"/>
  <c r="G210" i="3"/>
  <c r="F210" i="3"/>
  <c r="E210" i="3"/>
  <c r="B210" i="3"/>
  <c r="A210" i="3"/>
  <c r="I209" i="3"/>
  <c r="H209" i="3"/>
  <c r="G209" i="3"/>
  <c r="F209" i="3"/>
  <c r="E209" i="3"/>
  <c r="B209" i="3"/>
  <c r="A209" i="3"/>
  <c r="I208" i="3"/>
  <c r="H208" i="3"/>
  <c r="G208" i="3"/>
  <c r="F208" i="3"/>
  <c r="E208" i="3"/>
  <c r="B208" i="3"/>
  <c r="A208" i="3"/>
  <c r="I207" i="3"/>
  <c r="H207" i="3"/>
  <c r="G207" i="3"/>
  <c r="F207" i="3"/>
  <c r="E207" i="3"/>
  <c r="B207" i="3"/>
  <c r="A207" i="3"/>
  <c r="I206" i="3"/>
  <c r="H206" i="3"/>
  <c r="G206" i="3"/>
  <c r="F206" i="3"/>
  <c r="E206" i="3"/>
  <c r="B206" i="3"/>
  <c r="A206" i="3"/>
  <c r="I205" i="3"/>
  <c r="H205" i="3"/>
  <c r="G205" i="3"/>
  <c r="F205" i="3"/>
  <c r="E205" i="3"/>
  <c r="B205" i="3"/>
  <c r="A205" i="3"/>
  <c r="I204" i="3"/>
  <c r="H204" i="3"/>
  <c r="G204" i="3"/>
  <c r="F204" i="3"/>
  <c r="E204" i="3"/>
  <c r="B204" i="3"/>
  <c r="A204" i="3"/>
  <c r="I203" i="3"/>
  <c r="H203" i="3"/>
  <c r="G203" i="3"/>
  <c r="F203" i="3"/>
  <c r="B203" i="3"/>
  <c r="A203" i="3"/>
  <c r="I202" i="3"/>
  <c r="H202" i="3"/>
  <c r="G202" i="3"/>
  <c r="F202" i="3"/>
  <c r="E202" i="3"/>
  <c r="B202" i="3"/>
  <c r="A202" i="3"/>
  <c r="H201" i="3"/>
  <c r="G201" i="3"/>
  <c r="F201" i="3"/>
  <c r="E201" i="3"/>
  <c r="B201" i="3"/>
  <c r="A201" i="3"/>
  <c r="I200" i="3"/>
  <c r="H200" i="3"/>
  <c r="G200" i="3"/>
  <c r="F200" i="3"/>
  <c r="E200" i="3"/>
  <c r="B200" i="3"/>
  <c r="A200" i="3"/>
  <c r="I199" i="3"/>
  <c r="H199" i="3"/>
  <c r="G199" i="3"/>
  <c r="F199" i="3"/>
  <c r="E199" i="3"/>
  <c r="B199" i="3"/>
  <c r="A199" i="3"/>
  <c r="I198" i="3"/>
  <c r="H198" i="3"/>
  <c r="G198" i="3"/>
  <c r="F198" i="3"/>
  <c r="E198" i="3"/>
  <c r="B198" i="3"/>
  <c r="A198" i="3"/>
  <c r="I197" i="3"/>
  <c r="H197" i="3"/>
  <c r="G197" i="3"/>
  <c r="F197" i="3"/>
  <c r="E197" i="3"/>
  <c r="B197" i="3"/>
  <c r="A197" i="3"/>
  <c r="I196" i="3"/>
  <c r="H196" i="3"/>
  <c r="G196" i="3"/>
  <c r="F196" i="3"/>
  <c r="E196" i="3"/>
  <c r="B196" i="3"/>
  <c r="A196" i="3"/>
  <c r="I195" i="3"/>
  <c r="H195" i="3"/>
  <c r="G195" i="3"/>
  <c r="E195" i="3"/>
  <c r="F195" i="3" s="1"/>
  <c r="B195" i="3"/>
  <c r="A195" i="3"/>
  <c r="I194" i="3"/>
  <c r="H194" i="3"/>
  <c r="F194" i="3"/>
  <c r="E194" i="3"/>
  <c r="B194" i="3"/>
  <c r="A194" i="3"/>
  <c r="I193" i="3"/>
  <c r="H193" i="3"/>
  <c r="G193" i="3"/>
  <c r="F193" i="3"/>
  <c r="E193" i="3"/>
  <c r="B193" i="3"/>
  <c r="A193" i="3"/>
  <c r="I192" i="3"/>
  <c r="H192" i="3"/>
  <c r="G192" i="3"/>
  <c r="F192" i="3"/>
  <c r="E192" i="3"/>
  <c r="B192" i="3"/>
  <c r="A192" i="3"/>
  <c r="H191" i="3"/>
  <c r="G191" i="3"/>
  <c r="F191" i="3"/>
  <c r="E191" i="3"/>
  <c r="B191" i="3"/>
  <c r="A191" i="3"/>
  <c r="I190" i="3"/>
  <c r="H190" i="3"/>
  <c r="G190" i="3"/>
  <c r="E190" i="3"/>
  <c r="B190" i="3"/>
  <c r="A190" i="3"/>
  <c r="I189" i="3"/>
  <c r="H189" i="3"/>
  <c r="G189" i="3"/>
  <c r="F189" i="3"/>
  <c r="E189" i="3"/>
  <c r="B189" i="3"/>
  <c r="A189" i="3"/>
  <c r="I188" i="3"/>
  <c r="H188" i="3"/>
  <c r="G188" i="3"/>
  <c r="E188" i="3"/>
  <c r="B188" i="3"/>
  <c r="A188" i="3"/>
  <c r="I187" i="3"/>
  <c r="H187" i="3"/>
  <c r="G187" i="3"/>
  <c r="F187" i="3"/>
  <c r="E187" i="3"/>
  <c r="B187" i="3"/>
  <c r="A187" i="3"/>
  <c r="I186" i="3"/>
  <c r="H186" i="3"/>
  <c r="G186" i="3"/>
  <c r="F186" i="3"/>
  <c r="E186" i="3"/>
  <c r="B186" i="3"/>
  <c r="A186" i="3"/>
  <c r="I185" i="3"/>
  <c r="H185" i="3"/>
  <c r="G185" i="3"/>
  <c r="F185" i="3"/>
  <c r="E185" i="3"/>
  <c r="B185" i="3"/>
  <c r="A185" i="3"/>
  <c r="I184" i="3"/>
  <c r="H184" i="3"/>
  <c r="G184" i="3"/>
  <c r="F184" i="3"/>
  <c r="E184" i="3"/>
  <c r="B184" i="3"/>
  <c r="A184" i="3"/>
  <c r="I183" i="3"/>
  <c r="H183" i="3"/>
  <c r="G183" i="3"/>
  <c r="F183" i="3"/>
  <c r="E183" i="3"/>
  <c r="B183" i="3"/>
  <c r="A183" i="3"/>
  <c r="I182" i="3"/>
  <c r="H182" i="3"/>
  <c r="G182" i="3"/>
  <c r="F182" i="3"/>
  <c r="E182" i="3"/>
  <c r="B182" i="3"/>
  <c r="A182" i="3"/>
  <c r="I181" i="3"/>
  <c r="H181" i="3"/>
  <c r="G181" i="3"/>
  <c r="F181" i="3"/>
  <c r="E181" i="3"/>
  <c r="B181" i="3"/>
  <c r="A181" i="3"/>
  <c r="I180" i="3"/>
  <c r="H180" i="3"/>
  <c r="G180" i="3"/>
  <c r="F180" i="3"/>
  <c r="E180" i="3"/>
  <c r="B180" i="3"/>
  <c r="A180" i="3"/>
  <c r="H179" i="3"/>
  <c r="G179" i="3"/>
  <c r="F179" i="3"/>
  <c r="E179" i="3"/>
  <c r="B179" i="3"/>
  <c r="A179" i="3"/>
  <c r="I178" i="3"/>
  <c r="H178" i="3"/>
  <c r="G178" i="3"/>
  <c r="F178" i="3"/>
  <c r="E178" i="3"/>
  <c r="B178" i="3"/>
  <c r="A178" i="3"/>
  <c r="I177" i="3"/>
  <c r="H177" i="3"/>
  <c r="G177" i="3"/>
  <c r="F177" i="3"/>
  <c r="E177" i="3"/>
  <c r="B177" i="3"/>
  <c r="A177" i="3"/>
  <c r="I176" i="3"/>
  <c r="H176" i="3"/>
  <c r="G176" i="3"/>
  <c r="F176" i="3"/>
  <c r="E176" i="3"/>
  <c r="B176" i="3"/>
  <c r="A176" i="3"/>
  <c r="H175" i="3"/>
  <c r="G175" i="3"/>
  <c r="F175" i="3"/>
  <c r="E175" i="3"/>
  <c r="B175" i="3"/>
  <c r="A175" i="3"/>
  <c r="I174" i="3"/>
  <c r="H174" i="3"/>
  <c r="G174" i="3"/>
  <c r="F174" i="3"/>
  <c r="E174" i="3"/>
  <c r="B174" i="3"/>
  <c r="A174" i="3"/>
  <c r="I173" i="3"/>
  <c r="H173" i="3"/>
  <c r="G173" i="3"/>
  <c r="F173" i="3"/>
  <c r="E173" i="3"/>
  <c r="B173" i="3"/>
  <c r="A173" i="3"/>
  <c r="I172" i="3"/>
  <c r="H172" i="3"/>
  <c r="G172" i="3"/>
  <c r="F172" i="3"/>
  <c r="E172" i="3"/>
  <c r="B172" i="3"/>
  <c r="A172" i="3"/>
  <c r="I171" i="3"/>
  <c r="H171" i="3"/>
  <c r="G171" i="3"/>
  <c r="F171" i="3"/>
  <c r="E171" i="3"/>
  <c r="B171" i="3"/>
  <c r="A171" i="3"/>
  <c r="I170" i="3"/>
  <c r="H170" i="3"/>
  <c r="G170" i="3"/>
  <c r="F170" i="3"/>
  <c r="E170" i="3"/>
  <c r="B170" i="3"/>
  <c r="A170" i="3"/>
  <c r="I169" i="3"/>
  <c r="H169" i="3"/>
  <c r="G169" i="3"/>
  <c r="F169" i="3"/>
  <c r="E169" i="3"/>
  <c r="B169" i="3"/>
  <c r="A169" i="3"/>
  <c r="H168" i="3"/>
  <c r="G168" i="3"/>
  <c r="F168" i="3"/>
  <c r="E168" i="3"/>
  <c r="B168" i="3"/>
  <c r="A168" i="3"/>
  <c r="H167" i="3"/>
  <c r="G167" i="3"/>
  <c r="F167" i="3"/>
  <c r="E167" i="3"/>
  <c r="B167" i="3"/>
  <c r="A167" i="3"/>
  <c r="I166" i="3"/>
  <c r="H166" i="3"/>
  <c r="G166" i="3"/>
  <c r="F166" i="3"/>
  <c r="E166" i="3"/>
  <c r="J166" i="3" s="1"/>
  <c r="B166" i="3"/>
  <c r="A166" i="3"/>
  <c r="I165" i="3"/>
  <c r="H165" i="3"/>
  <c r="G165" i="3"/>
  <c r="F165" i="3"/>
  <c r="B165" i="3"/>
  <c r="A165" i="3"/>
  <c r="H164" i="3"/>
  <c r="G164" i="3"/>
  <c r="F164" i="3"/>
  <c r="E164" i="3"/>
  <c r="B164" i="3"/>
  <c r="A164" i="3"/>
  <c r="I163" i="3"/>
  <c r="H163" i="3"/>
  <c r="G163" i="3"/>
  <c r="F163" i="3"/>
  <c r="E163" i="3"/>
  <c r="B163" i="3"/>
  <c r="A163" i="3"/>
  <c r="I162" i="3"/>
  <c r="H162" i="3"/>
  <c r="G162" i="3"/>
  <c r="F162" i="3"/>
  <c r="E162" i="3"/>
  <c r="B162" i="3"/>
  <c r="A162" i="3"/>
  <c r="I161" i="3"/>
  <c r="H161" i="3"/>
  <c r="G161" i="3"/>
  <c r="F161" i="3"/>
  <c r="E161" i="3"/>
  <c r="B161" i="3"/>
  <c r="A161" i="3"/>
  <c r="I160" i="3"/>
  <c r="H160" i="3"/>
  <c r="G160" i="3"/>
  <c r="E160" i="3"/>
  <c r="B160" i="3"/>
  <c r="A160" i="3"/>
  <c r="I159" i="3"/>
  <c r="H159" i="3"/>
  <c r="G159" i="3"/>
  <c r="F159" i="3"/>
  <c r="B159" i="3"/>
  <c r="A159" i="3"/>
  <c r="I158" i="3"/>
  <c r="H158" i="3"/>
  <c r="G158" i="3"/>
  <c r="F158" i="3"/>
  <c r="E158" i="3"/>
  <c r="B158" i="3"/>
  <c r="A158" i="3"/>
  <c r="I157" i="3"/>
  <c r="H157" i="3"/>
  <c r="G157" i="3"/>
  <c r="F157" i="3"/>
  <c r="E157" i="3"/>
  <c r="B157" i="3"/>
  <c r="A157" i="3"/>
  <c r="I156" i="3"/>
  <c r="H156" i="3"/>
  <c r="G156" i="3"/>
  <c r="F156" i="3"/>
  <c r="B156" i="3"/>
  <c r="A156" i="3"/>
  <c r="I155" i="3"/>
  <c r="H155" i="3"/>
  <c r="G155" i="3"/>
  <c r="F155" i="3"/>
  <c r="E155" i="3"/>
  <c r="B155" i="3"/>
  <c r="A155" i="3"/>
  <c r="I154" i="3"/>
  <c r="H154" i="3"/>
  <c r="G154" i="3"/>
  <c r="F154" i="3"/>
  <c r="E154" i="3"/>
  <c r="B154" i="3"/>
  <c r="A154" i="3"/>
  <c r="I153" i="3"/>
  <c r="H153" i="3"/>
  <c r="G153" i="3"/>
  <c r="F153" i="3"/>
  <c r="E153" i="3"/>
  <c r="B153" i="3"/>
  <c r="A153" i="3"/>
  <c r="I152" i="3"/>
  <c r="H152" i="3"/>
  <c r="G152" i="3"/>
  <c r="F152" i="3"/>
  <c r="E152" i="3"/>
  <c r="B152" i="3"/>
  <c r="A152" i="3"/>
  <c r="H151" i="3"/>
  <c r="G151" i="3"/>
  <c r="F151" i="3"/>
  <c r="E151" i="3"/>
  <c r="B151" i="3"/>
  <c r="A151" i="3"/>
  <c r="H150" i="3"/>
  <c r="G150" i="3"/>
  <c r="F150" i="3"/>
  <c r="E150" i="3"/>
  <c r="B150" i="3"/>
  <c r="A150" i="3"/>
  <c r="H149" i="3"/>
  <c r="G149" i="3"/>
  <c r="F149" i="3"/>
  <c r="E149" i="3"/>
  <c r="J149" i="3" s="1"/>
  <c r="B149" i="3"/>
  <c r="A149" i="3"/>
  <c r="I148" i="3"/>
  <c r="H148" i="3"/>
  <c r="G148" i="3"/>
  <c r="F148" i="3"/>
  <c r="E148" i="3"/>
  <c r="B148" i="3"/>
  <c r="A148" i="3"/>
  <c r="I147" i="3"/>
  <c r="H147" i="3"/>
  <c r="G147" i="3"/>
  <c r="F147" i="3"/>
  <c r="E147" i="3"/>
  <c r="B147" i="3"/>
  <c r="A147" i="3"/>
  <c r="I146" i="3"/>
  <c r="H146" i="3"/>
  <c r="G146" i="3"/>
  <c r="F146" i="3"/>
  <c r="E146" i="3"/>
  <c r="B146" i="3"/>
  <c r="A146" i="3"/>
  <c r="I145" i="3"/>
  <c r="H145" i="3"/>
  <c r="G145" i="3"/>
  <c r="F145" i="3"/>
  <c r="E145" i="3"/>
  <c r="B145" i="3"/>
  <c r="A145" i="3"/>
  <c r="I144" i="3"/>
  <c r="H144" i="3"/>
  <c r="G144" i="3"/>
  <c r="F144" i="3"/>
  <c r="E144" i="3"/>
  <c r="B144" i="3"/>
  <c r="A144" i="3"/>
  <c r="I143" i="3"/>
  <c r="H143" i="3"/>
  <c r="G143" i="3"/>
  <c r="F143" i="3"/>
  <c r="E143" i="3"/>
  <c r="B143" i="3"/>
  <c r="A143" i="3"/>
  <c r="I142" i="3"/>
  <c r="H142" i="3"/>
  <c r="G142" i="3"/>
  <c r="E142" i="3"/>
  <c r="F142" i="3" s="1"/>
  <c r="B142" i="3"/>
  <c r="A142" i="3"/>
  <c r="I141" i="3"/>
  <c r="H141" i="3"/>
  <c r="G141" i="3"/>
  <c r="F141" i="3"/>
  <c r="E141" i="3"/>
  <c r="B141" i="3"/>
  <c r="A141" i="3"/>
  <c r="I140" i="3"/>
  <c r="H140" i="3"/>
  <c r="G140" i="3"/>
  <c r="F140" i="3"/>
  <c r="E140" i="3"/>
  <c r="B140" i="3"/>
  <c r="A140" i="3"/>
  <c r="I139" i="3"/>
  <c r="H139" i="3"/>
  <c r="G139" i="3"/>
  <c r="F139" i="3"/>
  <c r="E139" i="3"/>
  <c r="B139" i="3"/>
  <c r="A139" i="3"/>
  <c r="I138" i="3"/>
  <c r="H138" i="3"/>
  <c r="G138" i="3"/>
  <c r="F138" i="3"/>
  <c r="E138" i="3"/>
  <c r="B138" i="3"/>
  <c r="A138" i="3"/>
  <c r="I137" i="3"/>
  <c r="H137" i="3"/>
  <c r="G137" i="3"/>
  <c r="F137" i="3"/>
  <c r="E137" i="3"/>
  <c r="B137" i="3"/>
  <c r="A137" i="3"/>
  <c r="I136" i="3"/>
  <c r="H136" i="3"/>
  <c r="G136" i="3"/>
  <c r="F136" i="3"/>
  <c r="E136" i="3"/>
  <c r="B136" i="3"/>
  <c r="A136" i="3"/>
  <c r="I135" i="3"/>
  <c r="H135" i="3"/>
  <c r="G135" i="3"/>
  <c r="F135" i="3"/>
  <c r="E135" i="3"/>
  <c r="B135" i="3"/>
  <c r="A135" i="3"/>
  <c r="I134" i="3"/>
  <c r="H134" i="3"/>
  <c r="G134" i="3"/>
  <c r="E134" i="3"/>
  <c r="F134" i="3" s="1"/>
  <c r="B134" i="3"/>
  <c r="A134" i="3"/>
  <c r="I133" i="3"/>
  <c r="H133" i="3"/>
  <c r="G133" i="3"/>
  <c r="F133" i="3"/>
  <c r="E133" i="3"/>
  <c r="B133" i="3"/>
  <c r="A133" i="3"/>
  <c r="I132" i="3"/>
  <c r="H132" i="3"/>
  <c r="G132" i="3"/>
  <c r="F132" i="3"/>
  <c r="E132" i="3"/>
  <c r="B132" i="3"/>
  <c r="A132" i="3"/>
  <c r="I131" i="3"/>
  <c r="H131" i="3"/>
  <c r="G131" i="3"/>
  <c r="F131" i="3"/>
  <c r="E131" i="3"/>
  <c r="B131" i="3"/>
  <c r="A131" i="3"/>
  <c r="I130" i="3"/>
  <c r="H130" i="3"/>
  <c r="G130" i="3"/>
  <c r="F130" i="3"/>
  <c r="E130" i="3"/>
  <c r="B130" i="3"/>
  <c r="A130" i="3"/>
  <c r="H129" i="3"/>
  <c r="G129" i="3"/>
  <c r="F129" i="3"/>
  <c r="E129" i="3"/>
  <c r="B129" i="3"/>
  <c r="A129" i="3"/>
  <c r="I128" i="3"/>
  <c r="H128" i="3"/>
  <c r="G128" i="3"/>
  <c r="E128" i="3"/>
  <c r="B128" i="3"/>
  <c r="A128" i="3"/>
  <c r="I127" i="3"/>
  <c r="H127" i="3"/>
  <c r="G127" i="3"/>
  <c r="F127" i="3"/>
  <c r="E127" i="3"/>
  <c r="B127" i="3"/>
  <c r="A127" i="3"/>
  <c r="H126" i="3"/>
  <c r="G126" i="3"/>
  <c r="F126" i="3"/>
  <c r="E126" i="3"/>
  <c r="B126" i="3"/>
  <c r="A126" i="3"/>
  <c r="I125" i="3"/>
  <c r="H125" i="3"/>
  <c r="G125" i="3"/>
  <c r="F125" i="3"/>
  <c r="E125" i="3"/>
  <c r="B125" i="3"/>
  <c r="A125" i="3"/>
  <c r="I124" i="3"/>
  <c r="H124" i="3"/>
  <c r="G124" i="3"/>
  <c r="E124" i="3"/>
  <c r="B124" i="3"/>
  <c r="A124" i="3"/>
  <c r="H123" i="3"/>
  <c r="G123" i="3"/>
  <c r="F123" i="3"/>
  <c r="E123" i="3"/>
  <c r="B123" i="3"/>
  <c r="A123" i="3"/>
  <c r="I122" i="3"/>
  <c r="H122" i="3"/>
  <c r="G122" i="3"/>
  <c r="F122" i="3"/>
  <c r="E122" i="3"/>
  <c r="B122" i="3"/>
  <c r="A122" i="3"/>
  <c r="I121" i="3"/>
  <c r="H121" i="3"/>
  <c r="G121" i="3"/>
  <c r="F121" i="3"/>
  <c r="E121" i="3"/>
  <c r="B121" i="3"/>
  <c r="A121" i="3"/>
  <c r="I120" i="3"/>
  <c r="H120" i="3"/>
  <c r="G120" i="3"/>
  <c r="F120" i="3"/>
  <c r="E120" i="3"/>
  <c r="B120" i="3"/>
  <c r="A120" i="3"/>
  <c r="I119" i="3"/>
  <c r="H119" i="3"/>
  <c r="G119" i="3"/>
  <c r="F119" i="3"/>
  <c r="E119" i="3"/>
  <c r="B119" i="3"/>
  <c r="A119" i="3"/>
  <c r="I118" i="3"/>
  <c r="H118" i="3"/>
  <c r="F118" i="3"/>
  <c r="E118" i="3"/>
  <c r="B118" i="3"/>
  <c r="A118" i="3"/>
  <c r="I117" i="3"/>
  <c r="H117" i="3"/>
  <c r="G117" i="3"/>
  <c r="F117" i="3"/>
  <c r="E117" i="3"/>
  <c r="B117" i="3"/>
  <c r="A117" i="3"/>
  <c r="H116" i="3"/>
  <c r="G116" i="3"/>
  <c r="F116" i="3"/>
  <c r="E116" i="3"/>
  <c r="B116" i="3"/>
  <c r="A116" i="3"/>
  <c r="I115" i="3"/>
  <c r="H115" i="3"/>
  <c r="G115" i="3"/>
  <c r="F115" i="3"/>
  <c r="E115" i="3"/>
  <c r="B115" i="3"/>
  <c r="A115" i="3"/>
  <c r="I114" i="3"/>
  <c r="H114" i="3"/>
  <c r="G114" i="3"/>
  <c r="F114" i="3"/>
  <c r="E114" i="3"/>
  <c r="B114" i="3"/>
  <c r="A114" i="3"/>
  <c r="I113" i="3"/>
  <c r="H113" i="3"/>
  <c r="G113" i="3"/>
  <c r="F113" i="3"/>
  <c r="E113" i="3"/>
  <c r="B113" i="3"/>
  <c r="A113" i="3"/>
  <c r="I112" i="3"/>
  <c r="H112" i="3"/>
  <c r="G112" i="3"/>
  <c r="F112" i="3"/>
  <c r="E112" i="3"/>
  <c r="B112" i="3"/>
  <c r="A112" i="3"/>
  <c r="I111" i="3"/>
  <c r="H111" i="3"/>
  <c r="G111" i="3"/>
  <c r="E111" i="3"/>
  <c r="F111" i="3" s="1"/>
  <c r="B111" i="3"/>
  <c r="A111" i="3"/>
  <c r="I110" i="3"/>
  <c r="H110" i="3"/>
  <c r="G110" i="3"/>
  <c r="F110" i="3"/>
  <c r="E110" i="3"/>
  <c r="B110" i="3"/>
  <c r="A110" i="3"/>
  <c r="I109" i="3"/>
  <c r="H109" i="3"/>
  <c r="G109" i="3"/>
  <c r="F109" i="3"/>
  <c r="E109" i="3"/>
  <c r="J109" i="3" s="1"/>
  <c r="B109" i="3"/>
  <c r="A109" i="3"/>
  <c r="H108" i="3"/>
  <c r="G108" i="3"/>
  <c r="F108" i="3"/>
  <c r="E108" i="3"/>
  <c r="J108" i="3" s="1"/>
  <c r="I108" i="3"/>
  <c r="B108" i="3"/>
  <c r="A108" i="3"/>
  <c r="I107" i="3"/>
  <c r="H107" i="3"/>
  <c r="G107" i="3"/>
  <c r="F107" i="3"/>
  <c r="E107" i="3"/>
  <c r="B107" i="3"/>
  <c r="A107" i="3"/>
  <c r="I106" i="3"/>
  <c r="H106" i="3"/>
  <c r="G106" i="3"/>
  <c r="F106" i="3"/>
  <c r="B106" i="3"/>
  <c r="A106" i="3"/>
  <c r="I105" i="3"/>
  <c r="H105" i="3"/>
  <c r="F105" i="3"/>
  <c r="E105" i="3"/>
  <c r="B105" i="3"/>
  <c r="A105" i="3"/>
  <c r="I104" i="3"/>
  <c r="H104" i="3"/>
  <c r="G104" i="3"/>
  <c r="F104" i="3"/>
  <c r="E104" i="3"/>
  <c r="B104" i="3"/>
  <c r="A104" i="3"/>
  <c r="H103" i="3"/>
  <c r="G103" i="3"/>
  <c r="F103" i="3"/>
  <c r="E103" i="3"/>
  <c r="B103" i="3"/>
  <c r="A103" i="3"/>
  <c r="I102" i="3"/>
  <c r="H102" i="3"/>
  <c r="G102" i="3"/>
  <c r="F102" i="3"/>
  <c r="E102" i="3"/>
  <c r="B102" i="3"/>
  <c r="A102" i="3"/>
  <c r="I101" i="3"/>
  <c r="H101" i="3"/>
  <c r="G101" i="3"/>
  <c r="F101" i="3"/>
  <c r="E101" i="3"/>
  <c r="B101" i="3"/>
  <c r="A101" i="3"/>
  <c r="I100" i="3"/>
  <c r="H100" i="3"/>
  <c r="G100" i="3"/>
  <c r="E100" i="3"/>
  <c r="B100" i="3"/>
  <c r="A100" i="3"/>
  <c r="I99" i="3"/>
  <c r="H99" i="3"/>
  <c r="G99" i="3"/>
  <c r="F99" i="3"/>
  <c r="E99" i="3"/>
  <c r="B99" i="3"/>
  <c r="A99" i="3"/>
  <c r="I98" i="3"/>
  <c r="H98" i="3"/>
  <c r="G98" i="3"/>
  <c r="F98" i="3"/>
  <c r="E98" i="3"/>
  <c r="B98" i="3"/>
  <c r="A98" i="3"/>
  <c r="I97" i="3"/>
  <c r="H97" i="3"/>
  <c r="G97" i="3"/>
  <c r="F97" i="3"/>
  <c r="E97" i="3"/>
  <c r="B97" i="3"/>
  <c r="A97" i="3"/>
  <c r="H96" i="3"/>
  <c r="G96" i="3"/>
  <c r="F96" i="3"/>
  <c r="E96" i="3"/>
  <c r="B96" i="3"/>
  <c r="A96" i="3"/>
  <c r="I95" i="3"/>
  <c r="H95" i="3"/>
  <c r="G95" i="3"/>
  <c r="F95" i="3"/>
  <c r="E95" i="3"/>
  <c r="B95" i="3"/>
  <c r="A95" i="3"/>
  <c r="I94" i="3"/>
  <c r="H94" i="3"/>
  <c r="G94" i="3"/>
  <c r="F94" i="3"/>
  <c r="E94" i="3"/>
  <c r="B94" i="3"/>
  <c r="A94" i="3"/>
  <c r="I93" i="3"/>
  <c r="H93" i="3"/>
  <c r="G93" i="3"/>
  <c r="F93" i="3"/>
  <c r="E93" i="3"/>
  <c r="B93" i="3"/>
  <c r="A93" i="3"/>
  <c r="I92" i="3"/>
  <c r="H92" i="3"/>
  <c r="G92" i="3"/>
  <c r="F92" i="3"/>
  <c r="E92" i="3"/>
  <c r="B92" i="3"/>
  <c r="A92" i="3"/>
  <c r="I91" i="3"/>
  <c r="H91" i="3"/>
  <c r="F91" i="3"/>
  <c r="E91" i="3"/>
  <c r="B91" i="3"/>
  <c r="A91" i="3"/>
  <c r="I90" i="3"/>
  <c r="H90" i="3"/>
  <c r="G90" i="3"/>
  <c r="F90" i="3"/>
  <c r="E90" i="3"/>
  <c r="B90" i="3"/>
  <c r="A90" i="3"/>
  <c r="H89" i="3"/>
  <c r="G89" i="3"/>
  <c r="F89" i="3"/>
  <c r="E89" i="3"/>
  <c r="B89" i="3"/>
  <c r="A89" i="3"/>
  <c r="I88" i="3"/>
  <c r="H88" i="3"/>
  <c r="G88" i="3"/>
  <c r="F88" i="3"/>
  <c r="E88" i="3"/>
  <c r="B88" i="3"/>
  <c r="A88" i="3"/>
  <c r="I87" i="3"/>
  <c r="H87" i="3"/>
  <c r="G87" i="3"/>
  <c r="E87" i="3"/>
  <c r="F87" i="3" s="1"/>
  <c r="B87" i="3"/>
  <c r="A87" i="3"/>
  <c r="I86" i="3"/>
  <c r="H86" i="3"/>
  <c r="G86" i="3"/>
  <c r="F86" i="3"/>
  <c r="E86" i="3"/>
  <c r="B86" i="3"/>
  <c r="A86" i="3"/>
  <c r="I85" i="3"/>
  <c r="H85" i="3"/>
  <c r="F85" i="3"/>
  <c r="E85" i="3"/>
  <c r="B85" i="3"/>
  <c r="A85" i="3"/>
  <c r="I84" i="3"/>
  <c r="H84" i="3"/>
  <c r="G84" i="3"/>
  <c r="F84" i="3"/>
  <c r="E84" i="3"/>
  <c r="B84" i="3"/>
  <c r="A84" i="3"/>
  <c r="I83" i="3"/>
  <c r="H83" i="3"/>
  <c r="G83" i="3"/>
  <c r="E83" i="3"/>
  <c r="F83" i="3" s="1"/>
  <c r="B83" i="3"/>
  <c r="A83" i="3"/>
  <c r="I82" i="3"/>
  <c r="H82" i="3"/>
  <c r="G82" i="3"/>
  <c r="F82" i="3"/>
  <c r="E82" i="3"/>
  <c r="B82" i="3"/>
  <c r="A82" i="3"/>
  <c r="I81" i="3"/>
  <c r="H81" i="3"/>
  <c r="G81" i="3"/>
  <c r="F81" i="3"/>
  <c r="E81" i="3"/>
  <c r="B81" i="3"/>
  <c r="A81" i="3"/>
  <c r="I80" i="3"/>
  <c r="H80" i="3"/>
  <c r="G80" i="3"/>
  <c r="F80" i="3"/>
  <c r="E80" i="3"/>
  <c r="B80" i="3"/>
  <c r="A80" i="3"/>
  <c r="H79" i="3"/>
  <c r="G79" i="3"/>
  <c r="F79" i="3"/>
  <c r="E79" i="3"/>
  <c r="B79" i="3"/>
  <c r="A79" i="3"/>
  <c r="I78" i="3"/>
  <c r="H78" i="3"/>
  <c r="G78" i="3"/>
  <c r="F78" i="3"/>
  <c r="E78" i="3"/>
  <c r="B78" i="3"/>
  <c r="A78" i="3"/>
  <c r="H77" i="3"/>
  <c r="G77" i="3"/>
  <c r="F77" i="3"/>
  <c r="E77" i="3"/>
  <c r="B77" i="3"/>
  <c r="A77" i="3"/>
  <c r="I76" i="3"/>
  <c r="H76" i="3"/>
  <c r="G76" i="3"/>
  <c r="F76" i="3"/>
  <c r="E76" i="3"/>
  <c r="B76" i="3"/>
  <c r="A76" i="3"/>
  <c r="I75" i="3"/>
  <c r="H75" i="3"/>
  <c r="G75" i="3"/>
  <c r="F75" i="3"/>
  <c r="B75" i="3"/>
  <c r="A75" i="3"/>
  <c r="I74" i="3"/>
  <c r="H74" i="3"/>
  <c r="G74" i="3"/>
  <c r="F74" i="3"/>
  <c r="E74" i="3"/>
  <c r="B74" i="3"/>
  <c r="A74" i="3"/>
  <c r="I73" i="3"/>
  <c r="H73" i="3"/>
  <c r="G73" i="3"/>
  <c r="F73" i="3"/>
  <c r="E73" i="3"/>
  <c r="B73" i="3"/>
  <c r="A73" i="3"/>
  <c r="I72" i="3"/>
  <c r="H72" i="3"/>
  <c r="G72" i="3"/>
  <c r="F72" i="3"/>
  <c r="B72" i="3"/>
  <c r="A72" i="3"/>
  <c r="I71" i="3"/>
  <c r="H71" i="3"/>
  <c r="G71" i="3"/>
  <c r="E71" i="3"/>
  <c r="F71" i="3" s="1"/>
  <c r="B71" i="3"/>
  <c r="A71" i="3"/>
  <c r="I70" i="3"/>
  <c r="H70" i="3"/>
  <c r="G70" i="3"/>
  <c r="F70" i="3"/>
  <c r="E70" i="3"/>
  <c r="B70" i="3"/>
  <c r="A70" i="3"/>
  <c r="I69" i="3"/>
  <c r="H69" i="3"/>
  <c r="G69" i="3"/>
  <c r="F69" i="3"/>
  <c r="E69" i="3"/>
  <c r="J69" i="3" s="1"/>
  <c r="B69" i="3"/>
  <c r="A69" i="3"/>
  <c r="I68" i="3"/>
  <c r="H68" i="3"/>
  <c r="G68" i="3"/>
  <c r="F68" i="3"/>
  <c r="E68" i="3"/>
  <c r="J68" i="3" s="1"/>
  <c r="B68" i="3"/>
  <c r="A68" i="3"/>
  <c r="I67" i="3"/>
  <c r="H67" i="3"/>
  <c r="G67" i="3"/>
  <c r="F67" i="3"/>
  <c r="E67" i="3"/>
  <c r="J67" i="3" s="1"/>
  <c r="B67" i="3"/>
  <c r="A67" i="3"/>
  <c r="I66" i="3"/>
  <c r="H66" i="3"/>
  <c r="G66" i="3"/>
  <c r="F66" i="3"/>
  <c r="E66" i="3"/>
  <c r="B66" i="3"/>
  <c r="A66" i="3"/>
  <c r="I65" i="3"/>
  <c r="H65" i="3"/>
  <c r="G65" i="3"/>
  <c r="F65" i="3"/>
  <c r="E65" i="3"/>
  <c r="B65" i="3"/>
  <c r="A65" i="3"/>
  <c r="I64" i="3"/>
  <c r="H64" i="3"/>
  <c r="G64" i="3"/>
  <c r="F64" i="3"/>
  <c r="B64" i="3"/>
  <c r="A64" i="3"/>
  <c r="I63" i="3"/>
  <c r="H63" i="3"/>
  <c r="F63" i="3"/>
  <c r="E63" i="3"/>
  <c r="B63" i="3"/>
  <c r="A63" i="3"/>
  <c r="I62" i="3"/>
  <c r="H62" i="3"/>
  <c r="G62" i="3"/>
  <c r="F62" i="3"/>
  <c r="E62" i="3"/>
  <c r="B62" i="3"/>
  <c r="A62" i="3"/>
  <c r="I61" i="3"/>
  <c r="H61" i="3"/>
  <c r="G61" i="3"/>
  <c r="F61" i="3"/>
  <c r="E61" i="3"/>
  <c r="B61" i="3"/>
  <c r="A61" i="3"/>
  <c r="I60" i="3"/>
  <c r="H60" i="3"/>
  <c r="G60" i="3"/>
  <c r="F60" i="3"/>
  <c r="E60" i="3"/>
  <c r="B60" i="3"/>
  <c r="A60" i="3"/>
  <c r="I59" i="3"/>
  <c r="H59" i="3"/>
  <c r="G59" i="3"/>
  <c r="F59" i="3"/>
  <c r="E59" i="3"/>
  <c r="B59" i="3"/>
  <c r="A59" i="3"/>
  <c r="I58" i="3"/>
  <c r="H58" i="3"/>
  <c r="G58" i="3"/>
  <c r="F58" i="3"/>
  <c r="E58" i="3"/>
  <c r="B58" i="3"/>
  <c r="A58" i="3"/>
  <c r="I57" i="3"/>
  <c r="H57" i="3"/>
  <c r="G57" i="3"/>
  <c r="F57" i="3"/>
  <c r="E57" i="3"/>
  <c r="B57" i="3"/>
  <c r="A57" i="3"/>
  <c r="I56" i="3"/>
  <c r="H56" i="3"/>
  <c r="G56" i="3"/>
  <c r="E56" i="3"/>
  <c r="B56" i="3"/>
  <c r="A56" i="3"/>
  <c r="I55" i="3"/>
  <c r="H55" i="3"/>
  <c r="G55" i="3"/>
  <c r="F55" i="3"/>
  <c r="E55" i="3"/>
  <c r="B55" i="3"/>
  <c r="A55" i="3"/>
  <c r="I54" i="3"/>
  <c r="H54" i="3"/>
  <c r="G54" i="3"/>
  <c r="F54" i="3"/>
  <c r="E54" i="3"/>
  <c r="B54" i="3"/>
  <c r="A54" i="3"/>
  <c r="I53" i="3"/>
  <c r="H53" i="3"/>
  <c r="G53" i="3"/>
  <c r="E53" i="3"/>
  <c r="B53" i="3"/>
  <c r="A53" i="3"/>
  <c r="I52" i="3"/>
  <c r="H52" i="3"/>
  <c r="G52" i="3"/>
  <c r="F52" i="3"/>
  <c r="E52" i="3"/>
  <c r="B52" i="3"/>
  <c r="A52" i="3"/>
  <c r="I51" i="3"/>
  <c r="H51" i="3"/>
  <c r="G51" i="3"/>
  <c r="F51" i="3"/>
  <c r="E51" i="3"/>
  <c r="B51" i="3"/>
  <c r="A51" i="3"/>
  <c r="H50" i="3"/>
  <c r="G50" i="3"/>
  <c r="F50" i="3"/>
  <c r="E50" i="3"/>
  <c r="B50" i="3"/>
  <c r="A50" i="3"/>
  <c r="I49" i="3"/>
  <c r="H49" i="3"/>
  <c r="G49" i="3"/>
  <c r="F49" i="3"/>
  <c r="E49" i="3"/>
  <c r="B49" i="3"/>
  <c r="A49" i="3"/>
  <c r="I48" i="3"/>
  <c r="H48" i="3"/>
  <c r="G48" i="3"/>
  <c r="F48" i="3"/>
  <c r="E48" i="3"/>
  <c r="B48" i="3"/>
  <c r="A48" i="3"/>
  <c r="I47" i="3"/>
  <c r="H47" i="3"/>
  <c r="G47" i="3"/>
  <c r="F47" i="3"/>
  <c r="E47" i="3"/>
  <c r="B47" i="3"/>
  <c r="A47" i="3"/>
  <c r="I46" i="3"/>
  <c r="H46" i="3"/>
  <c r="G46" i="3"/>
  <c r="E46" i="3"/>
  <c r="F46" i="3" s="1"/>
  <c r="B46" i="3"/>
  <c r="A46" i="3"/>
  <c r="I45" i="3"/>
  <c r="H45" i="3"/>
  <c r="G45" i="3"/>
  <c r="F45" i="3"/>
  <c r="E45" i="3"/>
  <c r="B45" i="3"/>
  <c r="A45" i="3"/>
  <c r="I44" i="3"/>
  <c r="H44" i="3"/>
  <c r="G44" i="3"/>
  <c r="F44" i="3"/>
  <c r="E44" i="3"/>
  <c r="B44" i="3"/>
  <c r="A44" i="3"/>
  <c r="H43" i="3"/>
  <c r="G43" i="3"/>
  <c r="F43" i="3"/>
  <c r="E43" i="3"/>
  <c r="B43" i="3"/>
  <c r="A43" i="3"/>
  <c r="H42" i="3"/>
  <c r="G42" i="3"/>
  <c r="F42" i="3"/>
  <c r="E42" i="3"/>
  <c r="I42" i="3"/>
  <c r="B42" i="3"/>
  <c r="A42" i="3"/>
  <c r="I41" i="3"/>
  <c r="H41" i="3"/>
  <c r="G41" i="3"/>
  <c r="F41" i="3"/>
  <c r="E41" i="3"/>
  <c r="B41" i="3"/>
  <c r="A41" i="3"/>
  <c r="I40" i="3"/>
  <c r="H40" i="3"/>
  <c r="G40" i="3"/>
  <c r="F40" i="3"/>
  <c r="E40" i="3"/>
  <c r="B40" i="3"/>
  <c r="A40" i="3"/>
  <c r="I39" i="3"/>
  <c r="H39" i="3"/>
  <c r="G39" i="3"/>
  <c r="F39" i="3"/>
  <c r="E39" i="3"/>
  <c r="B39" i="3"/>
  <c r="A39" i="3"/>
  <c r="I38" i="3"/>
  <c r="H38" i="3"/>
  <c r="F38" i="3"/>
  <c r="E38" i="3"/>
  <c r="B38" i="3"/>
  <c r="A38" i="3"/>
  <c r="I37" i="3"/>
  <c r="H37" i="3"/>
  <c r="G37" i="3"/>
  <c r="F37" i="3"/>
  <c r="E37" i="3"/>
  <c r="B37" i="3"/>
  <c r="A37" i="3"/>
  <c r="I36" i="3"/>
  <c r="H36" i="3"/>
  <c r="G36" i="3"/>
  <c r="F36" i="3"/>
  <c r="B36" i="3"/>
  <c r="A36" i="3"/>
  <c r="I35" i="3"/>
  <c r="H35" i="3"/>
  <c r="G35" i="3"/>
  <c r="F35" i="3"/>
  <c r="E35" i="3"/>
  <c r="B35" i="3"/>
  <c r="A35" i="3"/>
  <c r="I34" i="3"/>
  <c r="H34" i="3"/>
  <c r="G34" i="3"/>
  <c r="F34" i="3"/>
  <c r="E34" i="3"/>
  <c r="B34" i="3"/>
  <c r="A34" i="3"/>
  <c r="I33" i="3"/>
  <c r="H33" i="3"/>
  <c r="G33" i="3"/>
  <c r="F33" i="3"/>
  <c r="B33" i="3"/>
  <c r="A33" i="3"/>
  <c r="I32" i="3"/>
  <c r="H32" i="3"/>
  <c r="G32" i="3"/>
  <c r="F32" i="3"/>
  <c r="E32" i="3"/>
  <c r="B32" i="3"/>
  <c r="A32" i="3"/>
  <c r="I31" i="3"/>
  <c r="H31" i="3"/>
  <c r="G31" i="3"/>
  <c r="F31" i="3"/>
  <c r="E31" i="3"/>
  <c r="B31" i="3"/>
  <c r="A31" i="3"/>
  <c r="I30" i="3"/>
  <c r="H30" i="3"/>
  <c r="G30" i="3"/>
  <c r="F30" i="3"/>
  <c r="B30" i="3"/>
  <c r="A30" i="3"/>
  <c r="H29" i="3"/>
  <c r="G29" i="3"/>
  <c r="F29" i="3"/>
  <c r="E29" i="3"/>
  <c r="B29" i="3"/>
  <c r="A29" i="3"/>
  <c r="I28" i="3"/>
  <c r="H28" i="3"/>
  <c r="G28" i="3"/>
  <c r="F28" i="3"/>
  <c r="E28" i="3"/>
  <c r="B28" i="3"/>
  <c r="A28" i="3"/>
  <c r="I27" i="3"/>
  <c r="H27" i="3"/>
  <c r="G27" i="3"/>
  <c r="F27" i="3"/>
  <c r="E27" i="3"/>
  <c r="B27" i="3"/>
  <c r="A27" i="3"/>
  <c r="I26" i="3"/>
  <c r="H26" i="3"/>
  <c r="G26" i="3"/>
  <c r="F26" i="3"/>
  <c r="E26" i="3"/>
  <c r="B26" i="3"/>
  <c r="A26" i="3"/>
  <c r="I25" i="3"/>
  <c r="H25" i="3"/>
  <c r="G25" i="3"/>
  <c r="F25" i="3"/>
  <c r="E25" i="3"/>
  <c r="B25" i="3"/>
  <c r="A25" i="3"/>
  <c r="I24" i="3"/>
  <c r="H24" i="3"/>
  <c r="F24" i="3"/>
  <c r="E24" i="3"/>
  <c r="B24" i="3"/>
  <c r="A24" i="3"/>
  <c r="H23" i="3"/>
  <c r="G23" i="3"/>
  <c r="F23" i="3"/>
  <c r="E23" i="3"/>
  <c r="B23" i="3"/>
  <c r="A23" i="3"/>
  <c r="I22" i="3"/>
  <c r="H22" i="3"/>
  <c r="G22" i="3"/>
  <c r="F22" i="3"/>
  <c r="B22" i="3"/>
  <c r="A22" i="3"/>
  <c r="I21" i="3"/>
  <c r="H21" i="3"/>
  <c r="G21" i="3"/>
  <c r="F21" i="3"/>
  <c r="E21" i="3"/>
  <c r="B21" i="3"/>
  <c r="A21" i="3"/>
  <c r="I20" i="3"/>
  <c r="H20" i="3"/>
  <c r="G20" i="3"/>
  <c r="F20" i="3"/>
  <c r="E20" i="3"/>
  <c r="B20" i="3"/>
  <c r="A20" i="3"/>
  <c r="H19" i="3"/>
  <c r="G19" i="3"/>
  <c r="F19" i="3"/>
  <c r="E19" i="3"/>
  <c r="B19" i="3"/>
  <c r="A19" i="3"/>
  <c r="I18" i="3"/>
  <c r="H18" i="3"/>
  <c r="G18" i="3"/>
  <c r="E18" i="3"/>
  <c r="F18" i="3" s="1"/>
  <c r="B18" i="3"/>
  <c r="A18" i="3"/>
  <c r="I17" i="3"/>
  <c r="H17" i="3"/>
  <c r="G17" i="3"/>
  <c r="F17" i="3"/>
  <c r="E17" i="3"/>
  <c r="B17" i="3"/>
  <c r="A17" i="3"/>
  <c r="I16" i="3"/>
  <c r="H16" i="3"/>
  <c r="G16" i="3"/>
  <c r="F16" i="3"/>
  <c r="E16" i="3"/>
  <c r="J16" i="3" s="1"/>
  <c r="B16" i="3"/>
  <c r="A16" i="3"/>
  <c r="I15" i="3"/>
  <c r="H15" i="3"/>
  <c r="G15" i="3"/>
  <c r="E15" i="3"/>
  <c r="F15" i="3" s="1"/>
  <c r="B15" i="3"/>
  <c r="A15" i="3"/>
  <c r="I14" i="3"/>
  <c r="H14" i="3"/>
  <c r="G14" i="3"/>
  <c r="F14" i="3"/>
  <c r="E14" i="3"/>
  <c r="B14" i="3"/>
  <c r="A14" i="3"/>
  <c r="I13" i="3"/>
  <c r="H13" i="3"/>
  <c r="G13" i="3"/>
  <c r="F13" i="3"/>
  <c r="E13" i="3"/>
  <c r="B13" i="3"/>
  <c r="A13" i="3"/>
  <c r="I12" i="3"/>
  <c r="H12" i="3"/>
  <c r="G12" i="3"/>
  <c r="F12" i="3"/>
  <c r="E12" i="3"/>
  <c r="B12" i="3"/>
  <c r="A12" i="3"/>
  <c r="I11" i="3"/>
  <c r="H11" i="3"/>
  <c r="G11" i="3"/>
  <c r="F11" i="3"/>
  <c r="E11" i="3"/>
  <c r="B11" i="3"/>
  <c r="A11" i="3"/>
  <c r="I10" i="3"/>
  <c r="H10" i="3"/>
  <c r="G10" i="3"/>
  <c r="F10" i="3"/>
  <c r="E10" i="3"/>
  <c r="B10" i="3"/>
  <c r="A10" i="3"/>
  <c r="I9" i="3"/>
  <c r="H9" i="3"/>
  <c r="G9" i="3"/>
  <c r="F9" i="3"/>
  <c r="E9" i="3"/>
  <c r="B9" i="3"/>
  <c r="A9" i="3"/>
  <c r="H8" i="3"/>
  <c r="G8" i="3"/>
  <c r="F8" i="3"/>
  <c r="E8" i="3"/>
  <c r="B8" i="3"/>
  <c r="A8" i="3"/>
  <c r="I7" i="3"/>
  <c r="H7" i="3"/>
  <c r="G7" i="3"/>
  <c r="F7" i="3"/>
  <c r="E7" i="3"/>
  <c r="B7" i="3"/>
  <c r="A7" i="3"/>
  <c r="I6" i="3"/>
  <c r="H6" i="3"/>
  <c r="G6" i="3"/>
  <c r="F6" i="3"/>
  <c r="E6" i="3"/>
  <c r="B6" i="3"/>
  <c r="A6" i="3"/>
  <c r="I5" i="3"/>
  <c r="H5" i="3"/>
  <c r="G5" i="3"/>
  <c r="F5" i="3"/>
  <c r="E5" i="3"/>
  <c r="B5" i="3"/>
  <c r="A5" i="3"/>
  <c r="H4" i="3"/>
  <c r="G4" i="3"/>
  <c r="F4" i="3"/>
  <c r="E4" i="3"/>
  <c r="J4" i="3" s="1"/>
  <c r="B4" i="3"/>
  <c r="A4" i="3"/>
  <c r="I3" i="3"/>
  <c r="H3" i="3"/>
  <c r="G3" i="3"/>
  <c r="F3" i="3"/>
  <c r="E3" i="3"/>
  <c r="J3" i="3" s="1"/>
  <c r="B3" i="3"/>
  <c r="A3" i="3"/>
  <c r="A2" i="3"/>
  <c r="I2" i="3"/>
  <c r="H2" i="3"/>
  <c r="G2" i="3"/>
  <c r="F2" i="3"/>
  <c r="B2" i="3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E64" i="3" l="1"/>
  <c r="E267" i="3"/>
  <c r="J267" i="3" s="1"/>
  <c r="E340" i="3"/>
  <c r="J340" i="3" s="1"/>
  <c r="I596" i="3"/>
  <c r="E72" i="3"/>
  <c r="J191" i="3"/>
  <c r="J347" i="3"/>
  <c r="J362" i="3"/>
  <c r="J552" i="3"/>
  <c r="I341" i="3"/>
  <c r="J5" i="3"/>
  <c r="J117" i="3"/>
  <c r="J235" i="3"/>
  <c r="J276" i="3"/>
  <c r="J51" i="3"/>
  <c r="J150" i="3"/>
  <c r="J275" i="3"/>
  <c r="J304" i="3"/>
  <c r="J257" i="3"/>
  <c r="J263" i="3"/>
  <c r="J264" i="3"/>
  <c r="G464" i="3"/>
  <c r="J471" i="3"/>
  <c r="J509" i="3"/>
  <c r="G510" i="3"/>
  <c r="J510" i="3" s="1"/>
  <c r="J563" i="3"/>
  <c r="J572" i="3"/>
  <c r="J603" i="3"/>
  <c r="J176" i="3"/>
  <c r="J177" i="3"/>
  <c r="J339" i="3"/>
  <c r="J443" i="3"/>
  <c r="J2" i="3"/>
  <c r="I96" i="3"/>
  <c r="E33" i="3"/>
  <c r="J33" i="3" s="1"/>
  <c r="E106" i="3"/>
  <c r="J357" i="3"/>
  <c r="J391" i="3"/>
  <c r="J29" i="3"/>
  <c r="J28" i="3"/>
  <c r="J233" i="3"/>
  <c r="J356" i="3"/>
  <c r="J460" i="3"/>
  <c r="J612" i="3"/>
  <c r="J134" i="3"/>
  <c r="J215" i="3"/>
  <c r="J348" i="3"/>
  <c r="G349" i="3"/>
  <c r="J459" i="3"/>
  <c r="J474" i="3"/>
  <c r="J490" i="3"/>
  <c r="J491" i="3"/>
  <c r="J574" i="3"/>
  <c r="J611" i="3"/>
  <c r="J97" i="3"/>
  <c r="J173" i="3"/>
  <c r="G254" i="3"/>
  <c r="J254" i="3" s="1"/>
  <c r="J260" i="3"/>
  <c r="J540" i="3"/>
  <c r="J586" i="3"/>
  <c r="J95" i="3"/>
  <c r="J189" i="3"/>
  <c r="J259" i="3"/>
  <c r="J271" i="3"/>
  <c r="J281" i="3"/>
  <c r="J470" i="3"/>
  <c r="J512" i="3"/>
  <c r="J145" i="3"/>
  <c r="J167" i="3"/>
  <c r="J439" i="3"/>
  <c r="G538" i="3"/>
  <c r="J538" i="3" s="1"/>
  <c r="J555" i="3"/>
  <c r="J616" i="3"/>
  <c r="E368" i="3"/>
  <c r="E261" i="3"/>
  <c r="J261" i="3" s="1"/>
  <c r="E156" i="3"/>
  <c r="J156" i="3" s="1"/>
  <c r="I79" i="3"/>
  <c r="E284" i="3"/>
  <c r="J284" i="3" s="1"/>
  <c r="E285" i="3"/>
  <c r="J292" i="3"/>
  <c r="I149" i="3"/>
  <c r="J359" i="3"/>
  <c r="J283" i="3"/>
  <c r="J82" i="3"/>
  <c r="J219" i="3"/>
  <c r="J220" i="3"/>
  <c r="J226" i="3"/>
  <c r="J231" i="3"/>
  <c r="J307" i="3"/>
  <c r="J379" i="3"/>
  <c r="J383" i="3"/>
  <c r="J401" i="3"/>
  <c r="J446" i="3"/>
  <c r="J600" i="3"/>
  <c r="J479" i="3"/>
  <c r="J57" i="3"/>
  <c r="J88" i="3"/>
  <c r="J89" i="3"/>
  <c r="J146" i="3"/>
  <c r="J147" i="3"/>
  <c r="J163" i="3"/>
  <c r="J164" i="3"/>
  <c r="J212" i="3"/>
  <c r="J213" i="3"/>
  <c r="J223" i="3"/>
  <c r="J224" i="3"/>
  <c r="J375" i="3"/>
  <c r="J506" i="3"/>
  <c r="J507" i="3"/>
  <c r="J582" i="3"/>
  <c r="G583" i="3"/>
  <c r="J583" i="3" s="1"/>
  <c r="J591" i="3"/>
  <c r="J596" i="3"/>
  <c r="I258" i="3"/>
  <c r="J62" i="3"/>
  <c r="J127" i="3"/>
  <c r="J157" i="3"/>
  <c r="J158" i="3"/>
  <c r="J327" i="3"/>
  <c r="J328" i="3"/>
  <c r="I167" i="3"/>
  <c r="G63" i="3"/>
  <c r="J63" i="3" s="1"/>
  <c r="E203" i="3"/>
  <c r="J203" i="3" s="1"/>
  <c r="I377" i="3"/>
  <c r="J47" i="3"/>
  <c r="J48" i="3"/>
  <c r="J49" i="3"/>
  <c r="I201" i="3"/>
  <c r="E228" i="3"/>
  <c r="E313" i="3"/>
  <c r="J313" i="3" s="1"/>
  <c r="J13" i="3"/>
  <c r="J45" i="3"/>
  <c r="J46" i="3"/>
  <c r="I89" i="3"/>
  <c r="J92" i="3"/>
  <c r="J93" i="3"/>
  <c r="J123" i="3"/>
  <c r="J551" i="3"/>
  <c r="J535" i="3"/>
  <c r="J90" i="3"/>
  <c r="I336" i="3"/>
  <c r="I609" i="3"/>
  <c r="J18" i="3"/>
  <c r="I29" i="3"/>
  <c r="J37" i="3"/>
  <c r="G38" i="3"/>
  <c r="J38" i="3" s="1"/>
  <c r="J39" i="3"/>
  <c r="I43" i="3"/>
  <c r="J73" i="3"/>
  <c r="J76" i="3"/>
  <c r="J96" i="3"/>
  <c r="J148" i="3"/>
  <c r="J207" i="3"/>
  <c r="J229" i="3"/>
  <c r="E335" i="3"/>
  <c r="J335" i="3" s="1"/>
  <c r="J336" i="3"/>
  <c r="J400" i="3"/>
  <c r="J402" i="3"/>
  <c r="G429" i="3"/>
  <c r="J429" i="3" s="1"/>
  <c r="G91" i="3"/>
  <c r="J40" i="3"/>
  <c r="J70" i="3"/>
  <c r="J77" i="3"/>
  <c r="I305" i="3"/>
  <c r="I334" i="3"/>
  <c r="I395" i="3"/>
  <c r="E590" i="3"/>
  <c r="J590" i="3" s="1"/>
  <c r="J110" i="3"/>
  <c r="J23" i="3"/>
  <c r="J25" i="3"/>
  <c r="J41" i="3"/>
  <c r="J54" i="3"/>
  <c r="J58" i="3"/>
  <c r="J60" i="3"/>
  <c r="J61" i="3"/>
  <c r="J103" i="3"/>
  <c r="J104" i="3"/>
  <c r="J185" i="3"/>
  <c r="J186" i="3"/>
  <c r="J273" i="3"/>
  <c r="J277" i="3"/>
  <c r="J279" i="3"/>
  <c r="J280" i="3"/>
  <c r="J305" i="3"/>
  <c r="J363" i="3"/>
  <c r="J367" i="3"/>
  <c r="J368" i="3"/>
  <c r="G397" i="3"/>
  <c r="J397" i="3" s="1"/>
  <c r="J415" i="3"/>
  <c r="J417" i="3"/>
  <c r="G483" i="3"/>
  <c r="J483" i="3" s="1"/>
  <c r="J487" i="3"/>
  <c r="J523" i="3"/>
  <c r="J11" i="3"/>
  <c r="J12" i="3"/>
  <c r="J64" i="3"/>
  <c r="J65" i="3"/>
  <c r="J107" i="3"/>
  <c r="J125" i="3"/>
  <c r="J129" i="3"/>
  <c r="J131" i="3"/>
  <c r="J152" i="3"/>
  <c r="J153" i="3"/>
  <c r="J154" i="3"/>
  <c r="J183" i="3"/>
  <c r="J187" i="3"/>
  <c r="I191" i="3"/>
  <c r="J237" i="3"/>
  <c r="I270" i="3"/>
  <c r="J300" i="3"/>
  <c r="J311" i="3"/>
  <c r="J420" i="3"/>
  <c r="J421" i="3"/>
  <c r="J539" i="3"/>
  <c r="J139" i="3"/>
  <c r="J140" i="3"/>
  <c r="J204" i="3"/>
  <c r="J227" i="3"/>
  <c r="J266" i="3"/>
  <c r="J268" i="3"/>
  <c r="J315" i="3"/>
  <c r="J423" i="3"/>
  <c r="J426" i="3"/>
  <c r="J447" i="3"/>
  <c r="J475" i="3"/>
  <c r="J493" i="3"/>
  <c r="J561" i="3"/>
  <c r="J564" i="3"/>
  <c r="J589" i="3"/>
  <c r="J312" i="3"/>
  <c r="J324" i="3"/>
  <c r="J351" i="3"/>
  <c r="J372" i="3"/>
  <c r="J388" i="3"/>
  <c r="J389" i="3"/>
  <c r="J427" i="3"/>
  <c r="J456" i="3"/>
  <c r="J515" i="3"/>
  <c r="J521" i="3"/>
  <c r="J115" i="3"/>
  <c r="J116" i="3"/>
  <c r="G118" i="3"/>
  <c r="J118" i="3" s="1"/>
  <c r="J119" i="3"/>
  <c r="J142" i="3"/>
  <c r="J155" i="3"/>
  <c r="J180" i="3"/>
  <c r="J181" i="3"/>
  <c r="J182" i="3"/>
  <c r="J211" i="3"/>
  <c r="J239" i="3"/>
  <c r="J240" i="3"/>
  <c r="J241" i="3"/>
  <c r="J243" i="3"/>
  <c r="J246" i="3"/>
  <c r="J249" i="3"/>
  <c r="J321" i="3"/>
  <c r="J332" i="3"/>
  <c r="J411" i="3"/>
  <c r="J430" i="3"/>
  <c r="J526" i="3"/>
  <c r="J531" i="3"/>
  <c r="J532" i="3"/>
  <c r="J534" i="3"/>
  <c r="J568" i="3"/>
  <c r="J570" i="3"/>
  <c r="I461" i="3"/>
  <c r="I103" i="3"/>
  <c r="J609" i="3"/>
  <c r="J597" i="3"/>
  <c r="J615" i="3"/>
  <c r="I581" i="3"/>
  <c r="E75" i="3"/>
  <c r="J75" i="3" s="1"/>
  <c r="J114" i="3"/>
  <c r="E165" i="3"/>
  <c r="J165" i="3" s="1"/>
  <c r="J22" i="3"/>
  <c r="E614" i="3"/>
  <c r="J614" i="3" s="1"/>
  <c r="J265" i="3"/>
  <c r="I379" i="3"/>
  <c r="E553" i="3"/>
  <c r="J553" i="3" s="1"/>
  <c r="E232" i="3"/>
  <c r="J232" i="3" s="1"/>
  <c r="J74" i="3"/>
  <c r="I123" i="3"/>
  <c r="I129" i="3"/>
  <c r="J209" i="3"/>
  <c r="E330" i="3"/>
  <c r="J330" i="3" s="1"/>
  <c r="J387" i="3"/>
  <c r="J26" i="3"/>
  <c r="E30" i="3"/>
  <c r="J30" i="3" s="1"/>
  <c r="J19" i="3"/>
  <c r="J55" i="3"/>
  <c r="J122" i="3"/>
  <c r="J135" i="3"/>
  <c r="J198" i="3"/>
  <c r="J199" i="3"/>
  <c r="J200" i="3"/>
  <c r="J221" i="3"/>
  <c r="J343" i="3"/>
  <c r="J399" i="3"/>
  <c r="J451" i="3"/>
  <c r="J10" i="3"/>
  <c r="J559" i="3"/>
  <c r="J102" i="3"/>
  <c r="I23" i="3"/>
  <c r="J20" i="3"/>
  <c r="J31" i="3"/>
  <c r="J66" i="3"/>
  <c r="J81" i="3"/>
  <c r="J6" i="3"/>
  <c r="J8" i="3"/>
  <c r="J9" i="3"/>
  <c r="J21" i="3"/>
  <c r="J32" i="3"/>
  <c r="J59" i="3"/>
  <c r="J84" i="3"/>
  <c r="J94" i="3"/>
  <c r="J113" i="3"/>
  <c r="J137" i="3"/>
  <c r="J138" i="3"/>
  <c r="J162" i="3"/>
  <c r="I168" i="3"/>
  <c r="J197" i="3"/>
  <c r="J201" i="3"/>
  <c r="J228" i="3"/>
  <c r="J289" i="3"/>
  <c r="I292" i="3"/>
  <c r="I438" i="3"/>
  <c r="J455" i="3"/>
  <c r="J520" i="3"/>
  <c r="J560" i="3"/>
  <c r="I582" i="3"/>
  <c r="J126" i="3"/>
  <c r="I255" i="3"/>
  <c r="J299" i="3"/>
  <c r="I525" i="3"/>
  <c r="I548" i="3"/>
  <c r="J580" i="3"/>
  <c r="J584" i="3"/>
  <c r="J86" i="3"/>
  <c r="J106" i="3"/>
  <c r="J7" i="3"/>
  <c r="J14" i="3"/>
  <c r="J17" i="3"/>
  <c r="J27" i="3"/>
  <c r="J35" i="3"/>
  <c r="J43" i="3"/>
  <c r="J50" i="3"/>
  <c r="J52" i="3"/>
  <c r="J79" i="3"/>
  <c r="J99" i="3"/>
  <c r="J120" i="3"/>
  <c r="J130" i="3"/>
  <c r="J132" i="3"/>
  <c r="J141" i="3"/>
  <c r="E159" i="3"/>
  <c r="J159" i="3" s="1"/>
  <c r="J169" i="3"/>
  <c r="J170" i="3"/>
  <c r="J216" i="3"/>
  <c r="E217" i="3"/>
  <c r="J217" i="3" s="1"/>
  <c r="J255" i="3"/>
  <c r="J285" i="3"/>
  <c r="J296" i="3"/>
  <c r="J352" i="3"/>
  <c r="J382" i="3"/>
  <c r="J407" i="3"/>
  <c r="J433" i="3"/>
  <c r="J434" i="3"/>
  <c r="J435" i="3"/>
  <c r="J480" i="3"/>
  <c r="J481" i="3"/>
  <c r="J496" i="3"/>
  <c r="I499" i="3"/>
  <c r="J547" i="3"/>
  <c r="J550" i="3"/>
  <c r="J34" i="3"/>
  <c r="J36" i="3"/>
  <c r="J42" i="3"/>
  <c r="J44" i="3"/>
  <c r="J72" i="3"/>
  <c r="J78" i="3"/>
  <c r="J80" i="3"/>
  <c r="J91" i="3"/>
  <c r="J98" i="3"/>
  <c r="J101" i="3"/>
  <c r="J112" i="3"/>
  <c r="J121" i="3"/>
  <c r="J133" i="3"/>
  <c r="J143" i="3"/>
  <c r="J161" i="3"/>
  <c r="J171" i="3"/>
  <c r="J179" i="3"/>
  <c r="J208" i="3"/>
  <c r="J253" i="3"/>
  <c r="J287" i="3"/>
  <c r="J288" i="3"/>
  <c r="J319" i="3"/>
  <c r="J320" i="3"/>
  <c r="J371" i="3"/>
  <c r="J395" i="3"/>
  <c r="J398" i="3"/>
  <c r="J436" i="3"/>
  <c r="J453" i="3"/>
  <c r="J454" i="3"/>
  <c r="J499" i="3"/>
  <c r="J500" i="3"/>
  <c r="J530" i="3"/>
  <c r="J592" i="3"/>
  <c r="J594" i="3"/>
  <c r="J595" i="3"/>
  <c r="J245" i="3"/>
  <c r="G269" i="3"/>
  <c r="J269" i="3" s="1"/>
  <c r="J419" i="3"/>
  <c r="G529" i="3"/>
  <c r="J529" i="3" s="1"/>
  <c r="J573" i="3"/>
  <c r="J576" i="3"/>
  <c r="J585" i="3"/>
  <c r="J601" i="3"/>
  <c r="J136" i="3"/>
  <c r="J144" i="3"/>
  <c r="J151" i="3"/>
  <c r="J175" i="3"/>
  <c r="J192" i="3"/>
  <c r="J206" i="3"/>
  <c r="J225" i="3"/>
  <c r="J236" i="3"/>
  <c r="J251" i="3"/>
  <c r="J272" i="3"/>
  <c r="J316" i="3"/>
  <c r="J325" i="3"/>
  <c r="J369" i="3"/>
  <c r="J376" i="3"/>
  <c r="J385" i="3"/>
  <c r="J440" i="3"/>
  <c r="J466" i="3"/>
  <c r="J477" i="3"/>
  <c r="J503" i="3"/>
  <c r="J511" i="3"/>
  <c r="J513" i="3"/>
  <c r="J514" i="3"/>
  <c r="J588" i="3"/>
  <c r="J606" i="3"/>
  <c r="J607" i="3"/>
  <c r="J193" i="3"/>
  <c r="J195" i="3"/>
  <c r="J196" i="3"/>
  <c r="J205" i="3"/>
  <c r="J238" i="3"/>
  <c r="J252" i="3"/>
  <c r="J262" i="3"/>
  <c r="J274" i="3"/>
  <c r="J298" i="3"/>
  <c r="J308" i="3"/>
  <c r="J341" i="3"/>
  <c r="J370" i="3"/>
  <c r="J394" i="3"/>
  <c r="J404" i="3"/>
  <c r="J414" i="3"/>
  <c r="J432" i="3"/>
  <c r="J450" i="3"/>
  <c r="J467" i="3"/>
  <c r="J486" i="3"/>
  <c r="J495" i="3"/>
  <c r="J536" i="3"/>
  <c r="J543" i="3"/>
  <c r="J557" i="3"/>
  <c r="J567" i="3"/>
  <c r="J579" i="3"/>
  <c r="J605" i="3"/>
  <c r="J608" i="3"/>
  <c r="G345" i="3"/>
  <c r="J345" i="3" s="1"/>
  <c r="F354" i="3"/>
  <c r="J354" i="3" s="1"/>
  <c r="F56" i="3"/>
  <c r="J56" i="3" s="1"/>
  <c r="F100" i="3"/>
  <c r="J100" i="3" s="1"/>
  <c r="F124" i="3"/>
  <c r="J124" i="3" s="1"/>
  <c r="F128" i="3"/>
  <c r="J128" i="3" s="1"/>
  <c r="F160" i="3"/>
  <c r="J160" i="3" s="1"/>
  <c r="F218" i="3"/>
  <c r="J218" i="3" s="1"/>
  <c r="J318" i="3"/>
  <c r="G338" i="3"/>
  <c r="J338" i="3" s="1"/>
  <c r="G366" i="3"/>
  <c r="J366" i="3" s="1"/>
  <c r="J381" i="3"/>
  <c r="F546" i="3"/>
  <c r="J546" i="3" s="1"/>
  <c r="G24" i="3"/>
  <c r="J24" i="3" s="1"/>
  <c r="J15" i="3"/>
  <c r="F53" i="3"/>
  <c r="J53" i="3" s="1"/>
  <c r="J71" i="3"/>
  <c r="J83" i="3"/>
  <c r="J87" i="3"/>
  <c r="J111" i="3"/>
  <c r="G329" i="3"/>
  <c r="J329" i="3" s="1"/>
  <c r="G85" i="3"/>
  <c r="J85" i="3" s="1"/>
  <c r="G105" i="3"/>
  <c r="J105" i="3" s="1"/>
  <c r="J172" i="3"/>
  <c r="F188" i="3"/>
  <c r="J188" i="3" s="1"/>
  <c r="J214" i="3"/>
  <c r="F234" i="3"/>
  <c r="J234" i="3" s="1"/>
  <c r="G247" i="3"/>
  <c r="J247" i="3" s="1"/>
  <c r="G248" i="3"/>
  <c r="J248" i="3" s="1"/>
  <c r="J270" i="3"/>
  <c r="J302" i="3"/>
  <c r="G303" i="3"/>
  <c r="J303" i="3" s="1"/>
  <c r="G527" i="3"/>
  <c r="J527" i="3" s="1"/>
  <c r="E282" i="3"/>
  <c r="J282" i="3" s="1"/>
  <c r="J178" i="3"/>
  <c r="G194" i="3"/>
  <c r="J194" i="3" s="1"/>
  <c r="J202" i="3"/>
  <c r="J222" i="3"/>
  <c r="J242" i="3"/>
  <c r="I246" i="3"/>
  <c r="J250" i="3"/>
  <c r="G256" i="3"/>
  <c r="J256" i="3" s="1"/>
  <c r="J291" i="3"/>
  <c r="E494" i="3"/>
  <c r="J494" i="3" s="1"/>
  <c r="G244" i="3"/>
  <c r="J244" i="3" s="1"/>
  <c r="J168" i="3"/>
  <c r="J184" i="3"/>
  <c r="F190" i="3"/>
  <c r="J190" i="3" s="1"/>
  <c r="J258" i="3"/>
  <c r="J278" i="3"/>
  <c r="J286" i="3"/>
  <c r="G295" i="3"/>
  <c r="J295" i="3" s="1"/>
  <c r="J360" i="3"/>
  <c r="J431" i="3"/>
  <c r="J174" i="3"/>
  <c r="J210" i="3"/>
  <c r="J230" i="3"/>
  <c r="G297" i="3"/>
  <c r="J297" i="3" s="1"/>
  <c r="J344" i="3"/>
  <c r="J355" i="3"/>
  <c r="J361" i="3"/>
  <c r="J413" i="3"/>
  <c r="F533" i="3"/>
  <c r="J533" i="3" s="1"/>
  <c r="F472" i="3"/>
  <c r="J472" i="3" s="1"/>
  <c r="J473" i="3"/>
  <c r="J505" i="3"/>
  <c r="J577" i="3"/>
  <c r="G610" i="3"/>
  <c r="J610" i="3" s="1"/>
  <c r="G452" i="3"/>
  <c r="J452" i="3" s="1"/>
  <c r="G545" i="3"/>
  <c r="J545" i="3" s="1"/>
  <c r="F554" i="3"/>
  <c r="J554" i="3" s="1"/>
  <c r="J293" i="3"/>
  <c r="J309" i="3"/>
  <c r="F314" i="3"/>
  <c r="J314" i="3" s="1"/>
  <c r="J323" i="3"/>
  <c r="J326" i="3"/>
  <c r="J342" i="3"/>
  <c r="J358" i="3"/>
  <c r="J377" i="3"/>
  <c r="J390" i="3"/>
  <c r="J396" i="3"/>
  <c r="J409" i="3"/>
  <c r="J422" i="3"/>
  <c r="J428" i="3"/>
  <c r="J441" i="3"/>
  <c r="J448" i="3"/>
  <c r="J461" i="3"/>
  <c r="J468" i="3"/>
  <c r="J482" i="3"/>
  <c r="J488" i="3"/>
  <c r="J501" i="3"/>
  <c r="J522" i="3"/>
  <c r="J528" i="3"/>
  <c r="J541" i="3"/>
  <c r="J548" i="3"/>
  <c r="J562" i="3"/>
  <c r="J569" i="3"/>
  <c r="J571" i="3"/>
  <c r="J581" i="3"/>
  <c r="J593" i="3"/>
  <c r="J613" i="3"/>
  <c r="J294" i="3"/>
  <c r="J310" i="3"/>
  <c r="G331" i="3"/>
  <c r="J331" i="3" s="1"/>
  <c r="J337" i="3"/>
  <c r="J353" i="3"/>
  <c r="F364" i="3"/>
  <c r="J364" i="3" s="1"/>
  <c r="J365" i="3"/>
  <c r="J378" i="3"/>
  <c r="J384" i="3"/>
  <c r="G408" i="3"/>
  <c r="J408" i="3" s="1"/>
  <c r="J410" i="3"/>
  <c r="J416" i="3"/>
  <c r="F442" i="3"/>
  <c r="J442" i="3" s="1"/>
  <c r="J449" i="3"/>
  <c r="F462" i="3"/>
  <c r="J462" i="3" s="1"/>
  <c r="J469" i="3"/>
  <c r="J476" i="3"/>
  <c r="J489" i="3"/>
  <c r="J502" i="3"/>
  <c r="J508" i="3"/>
  <c r="J519" i="3"/>
  <c r="J542" i="3"/>
  <c r="J549" i="3"/>
  <c r="J556" i="3"/>
  <c r="G598" i="3"/>
  <c r="J598" i="3" s="1"/>
  <c r="F602" i="3"/>
  <c r="J602" i="3" s="1"/>
  <c r="J290" i="3"/>
  <c r="J306" i="3"/>
  <c r="J322" i="3"/>
  <c r="J333" i="3"/>
  <c r="J349" i="3"/>
  <c r="J373" i="3"/>
  <c r="J386" i="3"/>
  <c r="J392" i="3"/>
  <c r="J405" i="3"/>
  <c r="J418" i="3"/>
  <c r="J424" i="3"/>
  <c r="J437" i="3"/>
  <c r="J444" i="3"/>
  <c r="J457" i="3"/>
  <c r="J464" i="3"/>
  <c r="J478" i="3"/>
  <c r="J484" i="3"/>
  <c r="J497" i="3"/>
  <c r="F516" i="3"/>
  <c r="J516" i="3" s="1"/>
  <c r="J517" i="3"/>
  <c r="J524" i="3"/>
  <c r="J537" i="3"/>
  <c r="J558" i="3"/>
  <c r="F575" i="3"/>
  <c r="J575" i="3" s="1"/>
  <c r="J587" i="3"/>
  <c r="J301" i="3"/>
  <c r="J317" i="3"/>
  <c r="J334" i="3"/>
  <c r="J350" i="3"/>
  <c r="J374" i="3"/>
  <c r="J380" i="3"/>
  <c r="J393" i="3"/>
  <c r="J406" i="3"/>
  <c r="J412" i="3"/>
  <c r="J425" i="3"/>
  <c r="J438" i="3"/>
  <c r="J445" i="3"/>
  <c r="J458" i="3"/>
  <c r="J465" i="3"/>
  <c r="J485" i="3"/>
  <c r="J498" i="3"/>
  <c r="J504" i="3"/>
  <c r="J518" i="3"/>
  <c r="J525" i="3"/>
  <c r="J544" i="3"/>
  <c r="J565" i="3"/>
  <c r="J566" i="3"/>
  <c r="J578" i="3"/>
  <c r="F599" i="3"/>
  <c r="J599" i="3" s="1"/>
</calcChain>
</file>

<file path=xl/sharedStrings.xml><?xml version="1.0" encoding="utf-8"?>
<sst xmlns="http://schemas.openxmlformats.org/spreadsheetml/2006/main" count="2472" uniqueCount="685">
  <si>
    <t>Transaction ID</t>
  </si>
  <si>
    <t>Date</t>
  </si>
  <si>
    <t>Category</t>
  </si>
  <si>
    <t>Item</t>
  </si>
  <si>
    <t>Price Per Unit</t>
  </si>
  <si>
    <t>Quantity</t>
  </si>
  <si>
    <t>Total Spent</t>
  </si>
  <si>
    <t>Payment Method</t>
  </si>
  <si>
    <t>TXN_1557</t>
  </si>
  <si>
    <t>Milk Products</t>
  </si>
  <si>
    <t>Milk_Cheese_200g</t>
  </si>
  <si>
    <t>Credit Card</t>
  </si>
  <si>
    <t>TXN_1251</t>
  </si>
  <si>
    <t>Furniture</t>
  </si>
  <si>
    <t>Furn_Chair</t>
  </si>
  <si>
    <t>TXN_1150</t>
  </si>
  <si>
    <t>Computers</t>
  </si>
  <si>
    <t>Cash</t>
  </si>
  <si>
    <t>TXN_1350</t>
  </si>
  <si>
    <t>Milk_Butter_500g</t>
  </si>
  <si>
    <t>TXN_1406</t>
  </si>
  <si>
    <t>Butchers</t>
  </si>
  <si>
    <t>Meat_Chicken_1kg</t>
  </si>
  <si>
    <t>Debit Card</t>
  </si>
  <si>
    <t>TXN_1494</t>
  </si>
  <si>
    <t>Patisserie</t>
  </si>
  <si>
    <t>Pat_Cake_Slice</t>
  </si>
  <si>
    <t>TXN_1547</t>
  </si>
  <si>
    <t>Mobile Payment</t>
  </si>
  <si>
    <t>TXN_1498</t>
  </si>
  <si>
    <t>Electric Accessories</t>
  </si>
  <si>
    <t>Elec_Earphones</t>
  </si>
  <si>
    <t>TXN_1143</t>
  </si>
  <si>
    <t>Furn_Lamp</t>
  </si>
  <si>
    <t>TXN_1092</t>
  </si>
  <si>
    <t>Beverages</t>
  </si>
  <si>
    <t>Bev_Tea_100g</t>
  </si>
  <si>
    <t>TXN_1540</t>
  </si>
  <si>
    <t>Elec_Cable_USB</t>
  </si>
  <si>
    <t>TXN_1574</t>
  </si>
  <si>
    <t>Comp_Webcam</t>
  </si>
  <si>
    <t>TXN_1014</t>
  </si>
  <si>
    <t>Pat_Donut</t>
  </si>
  <si>
    <t>TXN_1543</t>
  </si>
  <si>
    <t>Meat_Fish_1kg</t>
  </si>
  <si>
    <t>TXN_1086</t>
  </si>
  <si>
    <t>TXN_1053</t>
  </si>
  <si>
    <t>Comp_Keyboard</t>
  </si>
  <si>
    <t>TXN_1490</t>
  </si>
  <si>
    <t>Elec_Charger</t>
  </si>
  <si>
    <t>TXN_1207</t>
  </si>
  <si>
    <t>TXN_1554</t>
  </si>
  <si>
    <t>Food</t>
  </si>
  <si>
    <t>Food_Rice_1kg</t>
  </si>
  <si>
    <t>TXN_1544</t>
  </si>
  <si>
    <t>TXN_1397</t>
  </si>
  <si>
    <t>TXN_1372</t>
  </si>
  <si>
    <t>TXN_1224</t>
  </si>
  <si>
    <t>TXN_1101</t>
  </si>
  <si>
    <t>Furn_Cushion</t>
  </si>
  <si>
    <t>TXN_1049</t>
  </si>
  <si>
    <t>Meat_Mutton_1kg</t>
  </si>
  <si>
    <t>TXN_1528</t>
  </si>
  <si>
    <t>TXN_1166</t>
  </si>
  <si>
    <t>TXN_1247</t>
  </si>
  <si>
    <t>TXN_1114</t>
  </si>
  <si>
    <t>TXN_1176</t>
  </si>
  <si>
    <t>Food_Oats_1kg</t>
  </si>
  <si>
    <t>TXN_1056</t>
  </si>
  <si>
    <t>TXN_1055</t>
  </si>
  <si>
    <t>Elec_Powerbank</t>
  </si>
  <si>
    <t>TXN_1400</t>
  </si>
  <si>
    <t>Furn_Small_Table</t>
  </si>
  <si>
    <t>TXN_1398</t>
  </si>
  <si>
    <t>TXN_1323</t>
  </si>
  <si>
    <t>TXN_1121</t>
  </si>
  <si>
    <t>patisserie</t>
  </si>
  <si>
    <t>TXN_1201</t>
  </si>
  <si>
    <t>Elec_Batteries_4pk</t>
  </si>
  <si>
    <t>TXN_1091</t>
  </si>
  <si>
    <t>TXN_1364</t>
  </si>
  <si>
    <t>TXN_1252</t>
  </si>
  <si>
    <t>Milk_Ghee_500ml</t>
  </si>
  <si>
    <t>TXN_1075</t>
  </si>
  <si>
    <t>TXN_1164</t>
  </si>
  <si>
    <t>TXN_1548</t>
  </si>
  <si>
    <t>TXN_1181</t>
  </si>
  <si>
    <t>Bev_Juice_500ml</t>
  </si>
  <si>
    <t>TXN_1155</t>
  </si>
  <si>
    <t>TXN_1268</t>
  </si>
  <si>
    <t>milk products</t>
  </si>
  <si>
    <t>TXN_1309</t>
  </si>
  <si>
    <t>Meat_Eggs_Dozen</t>
  </si>
  <si>
    <t>TXN_1324</t>
  </si>
  <si>
    <t>Food_Cereal_500g</t>
  </si>
  <si>
    <t>TXN_1484</t>
  </si>
  <si>
    <t>TXN_1163</t>
  </si>
  <si>
    <t>TXN_1147</t>
  </si>
  <si>
    <t>Pat_Muffin</t>
  </si>
  <si>
    <t>TXN_1042</t>
  </si>
  <si>
    <t>Bev_Cola_1L</t>
  </si>
  <si>
    <t>TXN_1148</t>
  </si>
  <si>
    <t>Comp_HDMI_Cable</t>
  </si>
  <si>
    <t>TXN_1073</t>
  </si>
  <si>
    <t>Bev_Water_1L</t>
  </si>
  <si>
    <t>TXN_1408</t>
  </si>
  <si>
    <t>TXN_1186</t>
  </si>
  <si>
    <t>TXN_1229</t>
  </si>
  <si>
    <t>TXN_1076</t>
  </si>
  <si>
    <t>TXN_1582</t>
  </si>
  <si>
    <t>TXN_1404</t>
  </si>
  <si>
    <t>TXN_1394</t>
  </si>
  <si>
    <t>TXN_1113</t>
  </si>
  <si>
    <t>TXN_1240</t>
  </si>
  <si>
    <t>Pat_Cookie_Pack</t>
  </si>
  <si>
    <t>TXN_1391</t>
  </si>
  <si>
    <t>TXN_1010</t>
  </si>
  <si>
    <t>TXN_1486</t>
  </si>
  <si>
    <t>TXN_1131</t>
  </si>
  <si>
    <t>TXN_1157</t>
  </si>
  <si>
    <t>Milk_Yogurt_400g</t>
  </si>
  <si>
    <t>TXN_1016</t>
  </si>
  <si>
    <t>Meat_Bacon_250g</t>
  </si>
  <si>
    <t>TXN_1339</t>
  </si>
  <si>
    <t>Pat_Croissant</t>
  </si>
  <si>
    <t>TXN_1319</t>
  </si>
  <si>
    <t>TXN_1174</t>
  </si>
  <si>
    <t xml:space="preserve">  Furn_Lamp  </t>
  </si>
  <si>
    <t>TXN_1584</t>
  </si>
  <si>
    <t>TXN_1124</t>
  </si>
  <si>
    <t>TXN_1221</t>
  </si>
  <si>
    <t>TXN_1532</t>
  </si>
  <si>
    <t>TXN_1012</t>
  </si>
  <si>
    <t>TXN_1387</t>
  </si>
  <si>
    <t>TXN_1278</t>
  </si>
  <si>
    <t>TXN_1354</t>
  </si>
  <si>
    <t>TXN_1282</t>
  </si>
  <si>
    <t>TXN_1508</t>
  </si>
  <si>
    <t>TXN_1257</t>
  </si>
  <si>
    <t>Bev_Coffee_200g</t>
  </si>
  <si>
    <t>TXN_1193</t>
  </si>
  <si>
    <t>Furn_Shelf</t>
  </si>
  <si>
    <t>TXN_1173</t>
  </si>
  <si>
    <t>TXN_1464</t>
  </si>
  <si>
    <t>TXN_1286</t>
  </si>
  <si>
    <t>TXN_1489</t>
  </si>
  <si>
    <t>TXN_1178</t>
  </si>
  <si>
    <t>TXN_1317</t>
  </si>
  <si>
    <t>Food_Wheat_1kg</t>
  </si>
  <si>
    <t>TXN_1593</t>
  </si>
  <si>
    <t>TXN_1137</t>
  </si>
  <si>
    <t>TXN_1018</t>
  </si>
  <si>
    <t>TXN_1041</t>
  </si>
  <si>
    <t>TXN_1345</t>
  </si>
  <si>
    <t>TXN_1277</t>
  </si>
  <si>
    <t>TXN_1558</t>
  </si>
  <si>
    <t>TXN_1589</t>
  </si>
  <si>
    <t>TXN_1090</t>
  </si>
  <si>
    <t>Comp_USB_Drive_32GB</t>
  </si>
  <si>
    <t>TXN_1502</t>
  </si>
  <si>
    <t>TXN_1087</t>
  </si>
  <si>
    <t>TXN_1316</t>
  </si>
  <si>
    <t>TXN_1152</t>
  </si>
  <si>
    <t>TXN_1112</t>
  </si>
  <si>
    <t>TXN_1170</t>
  </si>
  <si>
    <t>TXN_1238</t>
  </si>
  <si>
    <t>TXN_1313</t>
  </si>
  <si>
    <t>TXN_1035</t>
  </si>
  <si>
    <t>TXN_1168</t>
  </si>
  <si>
    <t>TXN_1290</t>
  </si>
  <si>
    <t>TXN_1314</t>
  </si>
  <si>
    <t>TXN_1479</t>
  </si>
  <si>
    <t>TXN_1458</t>
  </si>
  <si>
    <t>TXN_1388</t>
  </si>
  <si>
    <t>TXN_1249</t>
  </si>
  <si>
    <t>TXN_1206</t>
  </si>
  <si>
    <t>TXN_1564</t>
  </si>
  <si>
    <t>TXN_1209</t>
  </si>
  <si>
    <t>TXN_1444</t>
  </si>
  <si>
    <t>TXN_1258</t>
  </si>
  <si>
    <t>TXN_1204</t>
  </si>
  <si>
    <t>TXN_1136</t>
  </si>
  <si>
    <t>TXN_1245</t>
  </si>
  <si>
    <t>TXN_1099</t>
  </si>
  <si>
    <t>TXN_1399</t>
  </si>
  <si>
    <t>TXN_1025</t>
  </si>
  <si>
    <t>electric accessories</t>
  </si>
  <si>
    <t>TXN_1588</t>
  </si>
  <si>
    <t>TXN_1192</t>
  </si>
  <si>
    <t>TXN_1180</t>
  </si>
  <si>
    <t>TXN_1551</t>
  </si>
  <si>
    <t>TXN_1429</t>
  </si>
  <si>
    <t>TXN_1381</t>
  </si>
  <si>
    <t>TXN_1194</t>
  </si>
  <si>
    <t>TXN_1430</t>
  </si>
  <si>
    <t>TXN_1473</t>
  </si>
  <si>
    <t>Food_Pasta_500g</t>
  </si>
  <si>
    <t>TXN_1492</t>
  </si>
  <si>
    <t>beverages</t>
  </si>
  <si>
    <t>TXN_1327</t>
  </si>
  <si>
    <t>TXN_1213</t>
  </si>
  <si>
    <t xml:space="preserve">  Food_Wheat_1kg  </t>
  </si>
  <si>
    <t>TXN_1293</t>
  </si>
  <si>
    <t>TXN_1379</t>
  </si>
  <si>
    <t>TXN_1445</t>
  </si>
  <si>
    <t>TXN_1529</t>
  </si>
  <si>
    <t>TXN_1100</t>
  </si>
  <si>
    <t>TXN_1446</t>
  </si>
  <si>
    <t>TXN_1535</t>
  </si>
  <si>
    <t>TXN_1483</t>
  </si>
  <si>
    <t>TXN_1021</t>
  </si>
  <si>
    <t>TXN_1414</t>
  </si>
  <si>
    <t>TXN_1208</t>
  </si>
  <si>
    <t>TXN_1357</t>
  </si>
  <si>
    <t>TXN_1133</t>
  </si>
  <si>
    <t>TXN_1272</t>
  </si>
  <si>
    <t>TXN_1294</t>
  </si>
  <si>
    <t xml:space="preserve">  Meat_Fish_1kg  </t>
  </si>
  <si>
    <t>TXN_1482</t>
  </si>
  <si>
    <t>TXN_1368</t>
  </si>
  <si>
    <t>TXN_1336</t>
  </si>
  <si>
    <t>TXN_1467</t>
  </si>
  <si>
    <t>TXN_1395</t>
  </si>
  <si>
    <t>TXN_1218</t>
  </si>
  <si>
    <t>TXN_1266</t>
  </si>
  <si>
    <t>TXN_1534</t>
  </si>
  <si>
    <t>TXN_1409</t>
  </si>
  <si>
    <t>TXN_1246</t>
  </si>
  <si>
    <t>TXN_1538</t>
  </si>
  <si>
    <t>TXN_1485</t>
  </si>
  <si>
    <t>TXN_1237</t>
  </si>
  <si>
    <t>TXN_1474</t>
  </si>
  <si>
    <t>TXN_1563</t>
  </si>
  <si>
    <t xml:space="preserve">  Furn_Cushion  </t>
  </si>
  <si>
    <t>TXN_1392</t>
  </si>
  <si>
    <t>TXN_1325</t>
  </si>
  <si>
    <t>TXN_1539</t>
  </si>
  <si>
    <t>TXN_1285</t>
  </si>
  <si>
    <t>TXN_1338</t>
  </si>
  <si>
    <t>TXN_1298</t>
  </si>
  <si>
    <t>TXN_1001</t>
  </si>
  <si>
    <t>TXN_1426</t>
  </si>
  <si>
    <t>TXN_1183</t>
  </si>
  <si>
    <t>TXN_1262</t>
  </si>
  <si>
    <t>TXN_1481</t>
  </si>
  <si>
    <t>TXN_1142</t>
  </si>
  <si>
    <t>TXN_1347</t>
  </si>
  <si>
    <t>TXN_1234</t>
  </si>
  <si>
    <t>TXN_1118</t>
  </si>
  <si>
    <t>TXN_1519</t>
  </si>
  <si>
    <t>TXN_1159</t>
  </si>
  <si>
    <t>TXN_1524</t>
  </si>
  <si>
    <t>TXN_1144</t>
  </si>
  <si>
    <t>TXN_1074</t>
  </si>
  <si>
    <t>TXN_1518</t>
  </si>
  <si>
    <t>TXN_1250</t>
  </si>
  <si>
    <t>TXN_1514</t>
  </si>
  <si>
    <t>Comp_Mouse</t>
  </si>
  <si>
    <t>TXN_1594</t>
  </si>
  <si>
    <t>TXN_1531</t>
  </si>
  <si>
    <t>TXN_1022</t>
  </si>
  <si>
    <t>TXN_1276</t>
  </si>
  <si>
    <t>TXN_1297</t>
  </si>
  <si>
    <t>TXN_1072</t>
  </si>
  <si>
    <t>TXN_1441</t>
  </si>
  <si>
    <t>TXN_1017</t>
  </si>
  <si>
    <t>TXN_1102</t>
  </si>
  <si>
    <t>TXN_1231</t>
  </si>
  <si>
    <t>TXN_1488</t>
  </si>
  <si>
    <t>TXN_1217</t>
  </si>
  <si>
    <t>TXN_1380</t>
  </si>
  <si>
    <t>TXN_1423</t>
  </si>
  <si>
    <t>TXN_1243</t>
  </si>
  <si>
    <t>TXN_1598</t>
  </si>
  <si>
    <t>TXN_1382</t>
  </si>
  <si>
    <t>TXN_1513</t>
  </si>
  <si>
    <t>TXN_1416</t>
  </si>
  <si>
    <t>TXN_1019</t>
  </si>
  <si>
    <t>TXN_1069</t>
  </si>
  <si>
    <t>TXN_1125</t>
  </si>
  <si>
    <t>TXN_1549</t>
  </si>
  <si>
    <t>TXN_1106</t>
  </si>
  <si>
    <t>TXN_1082</t>
  </si>
  <si>
    <t>TXN_1341</t>
  </si>
  <si>
    <t>TXN_1107</t>
  </si>
  <si>
    <t>TXN_1493</t>
  </si>
  <si>
    <t>TXN_1239</t>
  </si>
  <si>
    <t>TXN_1182</t>
  </si>
  <si>
    <t>TXN_1308</t>
  </si>
  <si>
    <t>TXN_1511</t>
  </si>
  <si>
    <t>furniture</t>
  </si>
  <si>
    <t>TXN_1044</t>
  </si>
  <si>
    <t>TXN_1477</t>
  </si>
  <si>
    <t>TXN_1520</t>
  </si>
  <si>
    <t>TXN_1038</t>
  </si>
  <si>
    <t>TXN_1098</t>
  </si>
  <si>
    <t>TXN_1093</t>
  </si>
  <si>
    <t>TXN_1571</t>
  </si>
  <si>
    <t>TXN_1236</t>
  </si>
  <si>
    <t>TXN_1062</t>
  </si>
  <si>
    <t>Milk_Paneer_200g</t>
  </si>
  <si>
    <t>TXN_1003</t>
  </si>
  <si>
    <t>TXN_1220</t>
  </si>
  <si>
    <t>TXN_1343</t>
  </si>
  <si>
    <t>TXN_1011</t>
  </si>
  <si>
    <t>TXN_1510</t>
  </si>
  <si>
    <t>TXN_1130</t>
  </si>
  <si>
    <t>TXN_1189</t>
  </si>
  <si>
    <t>TXN_1058</t>
  </si>
  <si>
    <t>TXN_1491</t>
  </si>
  <si>
    <t xml:space="preserve">  Bev_Tea_100g  </t>
  </si>
  <si>
    <t>TXN_1185</t>
  </si>
  <si>
    <t>TXN_1504</t>
  </si>
  <si>
    <t>TXN_1162</t>
  </si>
  <si>
    <t>TXN_1228</t>
  </si>
  <si>
    <t>TXN_1459</t>
  </si>
  <si>
    <t>TXN_1342</t>
  </si>
  <si>
    <t>TXN_1065</t>
  </si>
  <si>
    <t>TXN_1442</t>
  </si>
  <si>
    <t>TXN_1094</t>
  </si>
  <si>
    <t>TXN_1302</t>
  </si>
  <si>
    <t>TXN_1443</t>
  </si>
  <si>
    <t>TXN_1263</t>
  </si>
  <si>
    <t>TXN_1363</t>
  </si>
  <si>
    <t>TXN_1362</t>
  </si>
  <si>
    <t xml:space="preserve">  Meat_Mutton_1kg  </t>
  </si>
  <si>
    <t>TXN_1333</t>
  </si>
  <si>
    <t>TXN_1471</t>
  </si>
  <si>
    <t>TXN_1305</t>
  </si>
  <si>
    <t>TXN_1432</t>
  </si>
  <si>
    <t>TXN_1318</t>
  </si>
  <si>
    <t>TXN_1509</t>
  </si>
  <si>
    <t>TXN_1177</t>
  </si>
  <si>
    <t xml:space="preserve">  Furn_Shelf  </t>
  </si>
  <si>
    <t>TXN_1370</t>
  </si>
  <si>
    <t>TXN_1596</t>
  </si>
  <si>
    <t>TXN_1015</t>
  </si>
  <si>
    <t>TXN_1537</t>
  </si>
  <si>
    <t>TXN_1516</t>
  </si>
  <si>
    <t>TXN_1064</t>
  </si>
  <si>
    <t>TXN_1452</t>
  </si>
  <si>
    <t>TXN_1085</t>
  </si>
  <si>
    <t>TXN_1132</t>
  </si>
  <si>
    <t>TXN_1264</t>
  </si>
  <si>
    <t>TXN_1267</t>
  </si>
  <si>
    <t xml:space="preserve">  Furn_Chair  </t>
  </si>
  <si>
    <t>TXN_1254</t>
  </si>
  <si>
    <t>TXN_1083</t>
  </si>
  <si>
    <t>TXN_1005</t>
  </si>
  <si>
    <t>TXN_1405</t>
  </si>
  <si>
    <t>TXN_1334</t>
  </si>
  <si>
    <t>TXN_1420</t>
  </si>
  <si>
    <t>TXN_1561</t>
  </si>
  <si>
    <t>TXN_1292</t>
  </si>
  <si>
    <t>TXN_1028</t>
  </si>
  <si>
    <t>TXN_1232</t>
  </si>
  <si>
    <t>TXN_1059</t>
  </si>
  <si>
    <t>TXN_1222</t>
  </si>
  <si>
    <t>TXN_1378</t>
  </si>
  <si>
    <t>TXN_1029</t>
  </si>
  <si>
    <t>TXN_1344</t>
  </si>
  <si>
    <t>TXN_1570</t>
  </si>
  <si>
    <t>TXN_1411</t>
  </si>
  <si>
    <t>TXN_1565</t>
  </si>
  <si>
    <t>TXN_1427</t>
  </si>
  <si>
    <t>TXN_1167</t>
  </si>
  <si>
    <t>TXN_1306</t>
  </si>
  <si>
    <t>TXN_1079</t>
  </si>
  <si>
    <t>TXN_1568</t>
  </si>
  <si>
    <t>TXN_1261</t>
  </si>
  <si>
    <t xml:space="preserve">  Bev_Juice_500ml  </t>
  </si>
  <si>
    <t>TXN_1040</t>
  </si>
  <si>
    <t>TXN_1158</t>
  </si>
  <si>
    <t>TXN_1437</t>
  </si>
  <si>
    <t>TXN_1553</t>
  </si>
  <si>
    <t>TXN_1078</t>
  </si>
  <si>
    <t>TXN_1541</t>
  </si>
  <si>
    <t>TXN_1577</t>
  </si>
  <si>
    <t>TXN_1453</t>
  </si>
  <si>
    <t>TXN_1205</t>
  </si>
  <si>
    <t>TXN_1419</t>
  </si>
  <si>
    <t>TXN_1212</t>
  </si>
  <si>
    <t xml:space="preserve">  Pat_Cake_Slice  </t>
  </si>
  <si>
    <t>TXN_1256</t>
  </si>
  <si>
    <t>TXN_1146</t>
  </si>
  <si>
    <t>TXN_1259</t>
  </si>
  <si>
    <t>TXN_1108</t>
  </si>
  <si>
    <t>TXN_1030</t>
  </si>
  <si>
    <t>TXN_1020</t>
  </si>
  <si>
    <t>TXN_1110</t>
  </si>
  <si>
    <t>TXN_1134</t>
  </si>
  <si>
    <t>TXN_1007</t>
  </si>
  <si>
    <t>TXN_1034</t>
  </si>
  <si>
    <t>TXN_1300</t>
  </si>
  <si>
    <t>TXN_1476</t>
  </si>
  <si>
    <t>TXN_1037</t>
  </si>
  <si>
    <t>TXN_1241</t>
  </si>
  <si>
    <t>TXN_1088</t>
  </si>
  <si>
    <t>TXN_1279</t>
  </si>
  <si>
    <t>TXN_1187</t>
  </si>
  <si>
    <t>TXN_1215</t>
  </si>
  <si>
    <t>TXN_1291</t>
  </si>
  <si>
    <t>TXN_1198</t>
  </si>
  <si>
    <t>TXN_1417</t>
  </si>
  <si>
    <t>butchers</t>
  </si>
  <si>
    <t>TXN_1455</t>
  </si>
  <si>
    <t>TXN_1006</t>
  </si>
  <si>
    <t>TXN_1270</t>
  </si>
  <si>
    <t>TXN_1415</t>
  </si>
  <si>
    <t>TXN_1566</t>
  </si>
  <si>
    <t>TXN_1326</t>
  </si>
  <si>
    <t>TXN_1533</t>
  </si>
  <si>
    <t>TXN_1123</t>
  </si>
  <si>
    <t>TXN_1057</t>
  </si>
  <si>
    <t>TXN_1197</t>
  </si>
  <si>
    <t>TXN_1597</t>
  </si>
  <si>
    <t>TXN_1122</t>
  </si>
  <si>
    <t>TXN_1027</t>
  </si>
  <si>
    <t>TXN_1365</t>
  </si>
  <si>
    <t>TXN_1151</t>
  </si>
  <si>
    <t>TXN_1200</t>
  </si>
  <si>
    <t>TXN_1096</t>
  </si>
  <si>
    <t>TXN_1260</t>
  </si>
  <si>
    <t>TXN_1310</t>
  </si>
  <si>
    <t xml:space="preserve">  Comp_USB_Drive_32GB  </t>
  </si>
  <si>
    <t>TXN_1478</t>
  </si>
  <si>
    <t>TXN_1105</t>
  </si>
  <si>
    <t>TXN_1580</t>
  </si>
  <si>
    <t>TXN_1337</t>
  </si>
  <si>
    <t>TXN_1013</t>
  </si>
  <si>
    <t>TXN_1353</t>
  </si>
  <si>
    <t>TXN_1165</t>
  </si>
  <si>
    <t>TXN_1311</t>
  </si>
  <si>
    <t>TXN_1361</t>
  </si>
  <si>
    <t>TXN_1307</t>
  </si>
  <si>
    <t>TXN_1536</t>
  </si>
  <si>
    <t>TXN_1127</t>
  </si>
  <si>
    <t>TXN_1043</t>
  </si>
  <si>
    <t>TXN_1330</t>
  </si>
  <si>
    <t>TXN_1141</t>
  </si>
  <si>
    <t>TXN_1126</t>
  </si>
  <si>
    <t>TXN_1376</t>
  </si>
  <si>
    <t>TXN_1161</t>
  </si>
  <si>
    <t>TXN_1440</t>
  </si>
  <si>
    <t>TXN_1389</t>
  </si>
  <si>
    <t>TXN_1413</t>
  </si>
  <si>
    <t>TXN_1373</t>
  </si>
  <si>
    <t>TXN_1301</t>
  </si>
  <si>
    <t>TXN_1475</t>
  </si>
  <si>
    <t>TXN_1071</t>
  </si>
  <si>
    <t>TXN_1051</t>
  </si>
  <si>
    <t>TXN_1505</t>
  </si>
  <si>
    <t>TXN_1226</t>
  </si>
  <si>
    <t>TXN_1351</t>
  </si>
  <si>
    <t>TXN_1315</t>
  </si>
  <si>
    <t>TXN_1210</t>
  </si>
  <si>
    <t>TXN_1522</t>
  </si>
  <si>
    <t>TXN_1383</t>
  </si>
  <si>
    <t>TXN_1321</t>
  </si>
  <si>
    <t>TXN_1434</t>
  </si>
  <si>
    <t>TXN_1369</t>
  </si>
  <si>
    <t>TXN_1179</t>
  </si>
  <si>
    <t>TXN_1472</t>
  </si>
  <si>
    <t>TXN_1560</t>
  </si>
  <si>
    <t>TXN_1450</t>
  </si>
  <si>
    <t>food</t>
  </si>
  <si>
    <t>TXN_1312</t>
  </si>
  <si>
    <t>TXN_1497</t>
  </si>
  <si>
    <t>TXN_1288</t>
  </si>
  <si>
    <t>TXN_1271</t>
  </si>
  <si>
    <t>TXN_1346</t>
  </si>
  <si>
    <t>TXN_1328</t>
  </si>
  <si>
    <t>TXN_1068</t>
  </si>
  <si>
    <t>TXN_1385</t>
  </si>
  <si>
    <t>TXN_1396</t>
  </si>
  <si>
    <t>TXN_1195</t>
  </si>
  <si>
    <t>TXN_1070</t>
  </si>
  <si>
    <t>TXN_1153</t>
  </si>
  <si>
    <t>TXN_1188</t>
  </si>
  <si>
    <t>TXN_1160</t>
  </si>
  <si>
    <t>TXN_1410</t>
  </si>
  <si>
    <t>TXN_1052</t>
  </si>
  <si>
    <t>TXN_1374</t>
  </si>
  <si>
    <t>TXN_1045</t>
  </si>
  <si>
    <t>TXN_1196</t>
  </si>
  <si>
    <t>TXN_1117</t>
  </si>
  <si>
    <t>TXN_1036</t>
  </si>
  <si>
    <t>TXN_1433</t>
  </si>
  <si>
    <t>TXN_1431</t>
  </si>
  <si>
    <t>TXN_1355</t>
  </si>
  <si>
    <t>TXN_1216</t>
  </si>
  <si>
    <t>TXN_1061</t>
  </si>
  <si>
    <t>TXN_1487</t>
  </si>
  <si>
    <t>TXN_1581</t>
  </si>
  <si>
    <t>TXN_1599</t>
  </si>
  <si>
    <t>TXN_1004</t>
  </si>
  <si>
    <t>TXN_1227</t>
  </si>
  <si>
    <t>TXN_1348</t>
  </si>
  <si>
    <t>TXN_1265</t>
  </si>
  <si>
    <t>TXN_1583</t>
  </si>
  <si>
    <t>TXN_1303</t>
  </si>
  <si>
    <t>TXN_1466</t>
  </si>
  <si>
    <t>TXN_1039</t>
  </si>
  <si>
    <t xml:space="preserve">  Elec_Cable_USB  </t>
  </si>
  <si>
    <t>TXN_1244</t>
  </si>
  <si>
    <t>TXN_1109</t>
  </si>
  <si>
    <t>TXN_1470</t>
  </si>
  <si>
    <t>TXN_1048</t>
  </si>
  <si>
    <t>TXN_1360</t>
  </si>
  <si>
    <t>TXN_1046</t>
  </si>
  <si>
    <t>TXN_1456</t>
  </si>
  <si>
    <t>TXN_1512</t>
  </si>
  <si>
    <t>TXN_1119</t>
  </si>
  <si>
    <t>TXN_1386</t>
  </si>
  <si>
    <t>TXN_1358</t>
  </si>
  <si>
    <t>TXN_1371</t>
  </si>
  <si>
    <t>TXN_1156</t>
  </si>
  <si>
    <t>TXN_1480</t>
  </si>
  <si>
    <t>TXN_1202</t>
  </si>
  <si>
    <t>TXN_1026</t>
  </si>
  <si>
    <t>TXN_1595</t>
  </si>
  <si>
    <t>TXN_1463</t>
  </si>
  <si>
    <t>TXN_1340</t>
  </si>
  <si>
    <t>TXN_1190</t>
  </si>
  <si>
    <t>TXN_1573</t>
  </si>
  <si>
    <t>TXN_1128</t>
  </si>
  <si>
    <t>TXN_1184</t>
  </si>
  <si>
    <t>computers</t>
  </si>
  <si>
    <t>TXN_1515</t>
  </si>
  <si>
    <t>TXN_1047</t>
  </si>
  <si>
    <t>TXN_1140</t>
  </si>
  <si>
    <t>TXN_1448</t>
  </si>
  <si>
    <t>TXN_1447</t>
  </si>
  <si>
    <t>TXN_1081</t>
  </si>
  <si>
    <t>TXN_1154</t>
  </si>
  <si>
    <t>TXN_1332</t>
  </si>
  <si>
    <t>TXN_1572</t>
  </si>
  <si>
    <t>TXN_1067</t>
  </si>
  <si>
    <t>TXN_1352</t>
  </si>
  <si>
    <t>TXN_1103</t>
  </si>
  <si>
    <t>TXN_1000</t>
  </si>
  <si>
    <t>TXN_1233</t>
  </si>
  <si>
    <t>TXN_1592</t>
  </si>
  <si>
    <t>TXN_1080</t>
  </si>
  <si>
    <t>TXN_1439</t>
  </si>
  <si>
    <t>TXN_1063</t>
  </si>
  <si>
    <t>TXN_1008</t>
  </si>
  <si>
    <t>TXN_1235</t>
  </si>
  <si>
    <t>TXN_1428</t>
  </si>
  <si>
    <t>TXN_1401</t>
  </si>
  <si>
    <t>TXN_1320</t>
  </si>
  <si>
    <t>TXN_1050</t>
  </si>
  <si>
    <t>TXN_1023</t>
  </si>
  <si>
    <t>TXN_1024</t>
  </si>
  <si>
    <t>TXN_1390</t>
  </si>
  <si>
    <t>TXN_1349</t>
  </si>
  <si>
    <t>TXN_1457</t>
  </si>
  <si>
    <t>TXN_1175</t>
  </si>
  <si>
    <t>TXN_1403</t>
  </si>
  <si>
    <t>TXN_1248</t>
  </si>
  <si>
    <t>TXN_1436</t>
  </si>
  <si>
    <t>TXN_1289</t>
  </si>
  <si>
    <t>TXN_1066</t>
  </si>
  <si>
    <t>TXN_1586</t>
  </si>
  <si>
    <t>TXN_1280</t>
  </si>
  <si>
    <t>TXN_1546</t>
  </si>
  <si>
    <t>TXN_1527</t>
  </si>
  <si>
    <t>TXN_1525</t>
  </si>
  <si>
    <t>TXN_1530</t>
  </si>
  <si>
    <t>TXN_1422</t>
  </si>
  <si>
    <t>TXN_1219</t>
  </si>
  <si>
    <t>TXN_1495</t>
  </si>
  <si>
    <t>TXN_1111</t>
  </si>
  <si>
    <t>TXN_1203</t>
  </si>
  <si>
    <t>TXN_1542</t>
  </si>
  <si>
    <t>TXN_1407</t>
  </si>
  <si>
    <t>TXN_1032</t>
  </si>
  <si>
    <t>TXN_1569</t>
  </si>
  <si>
    <t>TXN_1366</t>
  </si>
  <si>
    <t>TXN_1469</t>
  </si>
  <si>
    <t>TXN_1521</t>
  </si>
  <si>
    <t>TXN_1002</t>
  </si>
  <si>
    <t>TXN_1335</t>
  </si>
  <si>
    <t>TXN_1499</t>
  </si>
  <si>
    <t>TXN_1465</t>
  </si>
  <si>
    <t>TXN_1377</t>
  </si>
  <si>
    <t>TXN_1284</t>
  </si>
  <si>
    <t>TXN_1412</t>
  </si>
  <si>
    <t>TXN_1095</t>
  </si>
  <si>
    <t>TXN_1077</t>
  </si>
  <si>
    <t>TXN_1462</t>
  </si>
  <si>
    <t>TXN_1384</t>
  </si>
  <si>
    <t>TXN_1424</t>
  </si>
  <si>
    <t>TXN_1275</t>
  </si>
  <si>
    <t>TXN_1145</t>
  </si>
  <si>
    <t>TXN_1501</t>
  </si>
  <si>
    <t>TXN_1402</t>
  </si>
  <si>
    <t>TXN_1567</t>
  </si>
  <si>
    <t>TXN_1329</t>
  </si>
  <si>
    <t>TXN_1149</t>
  </si>
  <si>
    <t>TXN_1255</t>
  </si>
  <si>
    <t>TXN_1135</t>
  </si>
  <si>
    <t>TXN_1129</t>
  </si>
  <si>
    <t>TXN_1283</t>
  </si>
  <si>
    <t>TXN_1587</t>
  </si>
  <si>
    <t>TXN_1421</t>
  </si>
  <si>
    <t>TXN_1138</t>
  </si>
  <si>
    <t>TXN_1097</t>
  </si>
  <si>
    <t xml:space="preserve">  Bev_Cola_1L  </t>
  </si>
  <si>
    <t>TXN_1526</t>
  </si>
  <si>
    <t>TXN_1273</t>
  </si>
  <si>
    <t>TXN_1296</t>
  </si>
  <si>
    <t>TXN_1591</t>
  </si>
  <si>
    <t>TXN_1331</t>
  </si>
  <si>
    <t>TXN_1585</t>
  </si>
  <si>
    <t>TXN_1287</t>
  </si>
  <si>
    <t>TXN_1545</t>
  </si>
  <si>
    <t>TXN_1576</t>
  </si>
  <si>
    <t>TXN_1060</t>
  </si>
  <si>
    <t>TXN_1552</t>
  </si>
  <si>
    <t>TXN_1211</t>
  </si>
  <si>
    <t>TXN_1169</t>
  </si>
  <si>
    <t>TXN_1438</t>
  </si>
  <si>
    <t>TXN_1359</t>
  </si>
  <si>
    <t>TXN_1214</t>
  </si>
  <si>
    <t>TXN_1242</t>
  </si>
  <si>
    <t>TXN_1120</t>
  </si>
  <si>
    <t>TXN_1449</t>
  </si>
  <si>
    <t>TXN_1089</t>
  </si>
  <si>
    <t>TXN_1356</t>
  </si>
  <si>
    <t>TXN_1269</t>
  </si>
  <si>
    <t>TXN_1460</t>
  </si>
  <si>
    <t>TXN_1590</t>
  </si>
  <si>
    <t xml:space="preserve">  Elec_Earphones  </t>
  </si>
  <si>
    <t>TXN_1304</t>
  </si>
  <si>
    <t>TXN_1253</t>
  </si>
  <si>
    <t>TXN_1104</t>
  </si>
  <si>
    <t>TXN_1435</t>
  </si>
  <si>
    <t>TXN_1223</t>
  </si>
  <si>
    <t>TXN_1559</t>
  </si>
  <si>
    <t>TXN_1451</t>
  </si>
  <si>
    <t>TXN_1555</t>
  </si>
  <si>
    <t>TXN_1375</t>
  </si>
  <si>
    <t>TXN_1556</t>
  </si>
  <si>
    <t>TXN_1274</t>
  </si>
  <si>
    <t>TXN_1116</t>
  </si>
  <si>
    <t>TXN_1115</t>
  </si>
  <si>
    <t>TXN_1523</t>
  </si>
  <si>
    <t>TXN_1562</t>
  </si>
  <si>
    <t>TXN_1507</t>
  </si>
  <si>
    <t>TXN_1579</t>
  </si>
  <si>
    <t xml:space="preserve">  Milk_Ghee_500ml  </t>
  </si>
  <si>
    <t>TXN_1468</t>
  </si>
  <si>
    <t>TXN_1172</t>
  </si>
  <si>
    <t>TXN_1295</t>
  </si>
  <si>
    <t>TXN_1550</t>
  </si>
  <si>
    <t>TXN_1230</t>
  </si>
  <si>
    <t>TXN_1281</t>
  </si>
  <si>
    <t>TXN_1033</t>
  </si>
  <si>
    <t>TXN_1299</t>
  </si>
  <si>
    <t>TXN_1225</t>
  </si>
  <si>
    <t>TXN_1031</t>
  </si>
  <si>
    <t>TXN_1578</t>
  </si>
  <si>
    <t>TXN_1084</t>
  </si>
  <si>
    <t>TXN_1171</t>
  </si>
  <si>
    <t>TXN_1500</t>
  </si>
  <si>
    <t>TXN_1454</t>
  </si>
  <si>
    <t>TXN_1425</t>
  </si>
  <si>
    <t>TXN_1503</t>
  </si>
  <si>
    <t>TXN_1418</t>
  </si>
  <si>
    <t>TXN_1506</t>
  </si>
  <si>
    <t>TXN_1517</t>
  </si>
  <si>
    <t>TXN_1575</t>
  </si>
  <si>
    <t>TXN_1393</t>
  </si>
  <si>
    <t>TXN_1199</t>
  </si>
  <si>
    <t>TXN_1139</t>
  </si>
  <si>
    <t>TXN_1496</t>
  </si>
  <si>
    <t>TXN_1009</t>
  </si>
  <si>
    <t>TXN_1367</t>
  </si>
  <si>
    <t>TXN_1054</t>
  </si>
  <si>
    <t>TXN_1461</t>
  </si>
  <si>
    <t>TXN_1322</t>
  </si>
  <si>
    <t>TXN_1191</t>
  </si>
  <si>
    <t>Item Fix Note</t>
  </si>
  <si>
    <t>Total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</si>
</sst>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DECB-CBAC-4CCC-BF54-199278E3A80C}">
  <dimension ref="A1:H616"/>
  <sheetViews>
    <sheetView tabSelected="1" topLeftCell="E1" workbookViewId="0">
      <pane ySplit="1" topLeftCell="A2" activePane="bottomLeft" state="frozen"/>
      <selection pane="bottomLeft" activeCell="H32" sqref="H32"/>
    </sheetView>
  </sheetViews>
  <sheetFormatPr defaultRowHeight="14.4"/>
  <cols>
    <col min="1" max="1" width="8.88671875" customWidth="1"/>
    <col min="2" max="2" width="10.33203125" bestFit="1" customWidth="1"/>
    <col min="3" max="3" width="8.88671875" customWidth="1"/>
    <col min="4" max="4" width="22.77734375" bestFit="1" customWidth="1"/>
    <col min="5" max="5" width="12" bestFit="1" customWidth="1"/>
    <col min="6" max="8" width="8.88671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45755</v>
      </c>
      <c r="C2" t="s">
        <v>9</v>
      </c>
      <c r="D2" t="s">
        <v>10</v>
      </c>
      <c r="F2">
        <v>6</v>
      </c>
      <c r="G2">
        <v>660</v>
      </c>
      <c r="H2" t="s">
        <v>11</v>
      </c>
    </row>
    <row r="3" spans="1:8">
      <c r="A3" t="s">
        <v>12</v>
      </c>
      <c r="B3" s="1">
        <v>45808</v>
      </c>
      <c r="C3" t="s">
        <v>13</v>
      </c>
      <c r="D3" t="s">
        <v>14</v>
      </c>
      <c r="E3">
        <v>2500</v>
      </c>
      <c r="F3">
        <v>2</v>
      </c>
      <c r="G3">
        <v>5000</v>
      </c>
      <c r="H3" t="s">
        <v>11</v>
      </c>
    </row>
    <row r="4" spans="1:8">
      <c r="A4" t="s">
        <v>15</v>
      </c>
      <c r="B4" s="1">
        <v>45860</v>
      </c>
      <c r="C4" t="s">
        <v>16</v>
      </c>
      <c r="E4">
        <v>800</v>
      </c>
      <c r="F4">
        <v>4</v>
      </c>
      <c r="G4">
        <v>3200</v>
      </c>
      <c r="H4" t="s">
        <v>17</v>
      </c>
    </row>
    <row r="5" spans="1:8">
      <c r="A5" t="s">
        <v>18</v>
      </c>
      <c r="B5" s="1">
        <v>45829</v>
      </c>
      <c r="C5" t="s">
        <v>9</v>
      </c>
      <c r="D5" t="s">
        <v>19</v>
      </c>
      <c r="E5">
        <v>250</v>
      </c>
      <c r="F5">
        <v>6</v>
      </c>
      <c r="G5">
        <v>1500</v>
      </c>
      <c r="H5" t="s">
        <v>17</v>
      </c>
    </row>
    <row r="6" spans="1:8">
      <c r="A6" t="s">
        <v>20</v>
      </c>
      <c r="B6" s="1">
        <v>45878</v>
      </c>
      <c r="C6" t="s">
        <v>21</v>
      </c>
      <c r="D6" t="s">
        <v>22</v>
      </c>
      <c r="E6">
        <v>220</v>
      </c>
      <c r="F6">
        <v>6</v>
      </c>
      <c r="G6">
        <v>1320</v>
      </c>
      <c r="H6" t="s">
        <v>23</v>
      </c>
    </row>
    <row r="7" spans="1:8">
      <c r="A7" t="s">
        <v>24</v>
      </c>
      <c r="B7" s="1">
        <v>45866</v>
      </c>
      <c r="C7" t="s">
        <v>25</v>
      </c>
      <c r="D7" t="s">
        <v>26</v>
      </c>
      <c r="E7">
        <v>90</v>
      </c>
      <c r="F7">
        <v>2</v>
      </c>
      <c r="G7">
        <v>180</v>
      </c>
      <c r="H7" t="s">
        <v>23</v>
      </c>
    </row>
    <row r="8" spans="1:8">
      <c r="A8" t="s">
        <v>27</v>
      </c>
      <c r="B8" s="1">
        <v>45705</v>
      </c>
      <c r="C8" t="s">
        <v>21</v>
      </c>
      <c r="E8">
        <v>190</v>
      </c>
      <c r="F8">
        <v>4</v>
      </c>
      <c r="G8">
        <v>760</v>
      </c>
      <c r="H8" t="s">
        <v>28</v>
      </c>
    </row>
    <row r="9" spans="1:8">
      <c r="A9" t="s">
        <v>29</v>
      </c>
      <c r="B9" s="1">
        <v>45784</v>
      </c>
      <c r="C9" t="s">
        <v>30</v>
      </c>
      <c r="D9" t="s">
        <v>31</v>
      </c>
      <c r="E9">
        <v>350</v>
      </c>
      <c r="F9">
        <v>5</v>
      </c>
      <c r="G9">
        <v>1750</v>
      </c>
      <c r="H9" t="s">
        <v>17</v>
      </c>
    </row>
    <row r="10" spans="1:8">
      <c r="A10" t="s">
        <v>32</v>
      </c>
      <c r="B10" s="1">
        <v>45740</v>
      </c>
      <c r="C10" t="s">
        <v>13</v>
      </c>
      <c r="D10" t="s">
        <v>33</v>
      </c>
      <c r="E10">
        <v>700</v>
      </c>
      <c r="F10">
        <v>3</v>
      </c>
      <c r="G10">
        <v>2100</v>
      </c>
      <c r="H10" t="s">
        <v>11</v>
      </c>
    </row>
    <row r="11" spans="1:8">
      <c r="A11" t="s">
        <v>34</v>
      </c>
      <c r="B11" s="1">
        <v>45893</v>
      </c>
      <c r="C11" t="s">
        <v>35</v>
      </c>
      <c r="D11" t="s">
        <v>36</v>
      </c>
      <c r="E11">
        <v>90</v>
      </c>
      <c r="F11">
        <v>6</v>
      </c>
      <c r="G11">
        <v>540</v>
      </c>
      <c r="H11" t="s">
        <v>23</v>
      </c>
    </row>
    <row r="12" spans="1:8">
      <c r="A12" t="s">
        <v>37</v>
      </c>
      <c r="B12" s="1">
        <v>45734</v>
      </c>
      <c r="C12" t="s">
        <v>30</v>
      </c>
      <c r="D12" t="s">
        <v>38</v>
      </c>
      <c r="E12">
        <v>150</v>
      </c>
      <c r="F12">
        <v>1</v>
      </c>
      <c r="G12">
        <v>150</v>
      </c>
      <c r="H12" t="s">
        <v>11</v>
      </c>
    </row>
    <row r="13" spans="1:8">
      <c r="A13" t="s">
        <v>39</v>
      </c>
      <c r="B13" s="1">
        <v>45894</v>
      </c>
      <c r="C13" t="s">
        <v>16</v>
      </c>
      <c r="D13" t="s">
        <v>40</v>
      </c>
      <c r="E13">
        <v>1200</v>
      </c>
      <c r="F13">
        <v>5</v>
      </c>
      <c r="G13">
        <v>6000</v>
      </c>
      <c r="H13" t="s">
        <v>28</v>
      </c>
    </row>
    <row r="14" spans="1:8">
      <c r="A14" t="s">
        <v>41</v>
      </c>
      <c r="B14" s="1">
        <v>45897</v>
      </c>
      <c r="C14" t="s">
        <v>25</v>
      </c>
      <c r="D14" t="s">
        <v>42</v>
      </c>
      <c r="E14">
        <v>30</v>
      </c>
      <c r="F14">
        <v>6</v>
      </c>
      <c r="G14">
        <v>180</v>
      </c>
      <c r="H14" t="s">
        <v>17</v>
      </c>
    </row>
    <row r="15" spans="1:8">
      <c r="A15" t="s">
        <v>43</v>
      </c>
      <c r="B15" s="1">
        <v>45683</v>
      </c>
      <c r="C15" t="s">
        <v>21</v>
      </c>
      <c r="D15" t="s">
        <v>44</v>
      </c>
      <c r="E15">
        <v>380</v>
      </c>
      <c r="G15">
        <v>380</v>
      </c>
      <c r="H15" t="s">
        <v>28</v>
      </c>
    </row>
    <row r="16" spans="1:8">
      <c r="A16" t="s">
        <v>45</v>
      </c>
      <c r="B16" s="1">
        <v>45855</v>
      </c>
      <c r="C16" t="s">
        <v>25</v>
      </c>
      <c r="D16" t="s">
        <v>42</v>
      </c>
      <c r="E16">
        <v>30</v>
      </c>
      <c r="F16">
        <v>1</v>
      </c>
      <c r="G16">
        <v>45</v>
      </c>
      <c r="H16" t="s">
        <v>23</v>
      </c>
    </row>
    <row r="17" spans="1:8">
      <c r="A17" t="s">
        <v>46</v>
      </c>
      <c r="B17" s="1">
        <v>45712</v>
      </c>
      <c r="C17" t="s">
        <v>16</v>
      </c>
      <c r="D17" t="s">
        <v>47</v>
      </c>
      <c r="E17">
        <v>800</v>
      </c>
      <c r="F17">
        <v>4</v>
      </c>
      <c r="G17">
        <v>3200</v>
      </c>
      <c r="H17" t="s">
        <v>28</v>
      </c>
    </row>
    <row r="18" spans="1:8">
      <c r="A18" t="s">
        <v>48</v>
      </c>
      <c r="B18" s="1">
        <v>45854</v>
      </c>
      <c r="C18" t="s">
        <v>30</v>
      </c>
      <c r="D18" t="s">
        <v>49</v>
      </c>
      <c r="E18">
        <v>400</v>
      </c>
      <c r="G18">
        <v>2000</v>
      </c>
      <c r="H18" t="s">
        <v>17</v>
      </c>
    </row>
    <row r="19" spans="1:8">
      <c r="A19" t="s">
        <v>50</v>
      </c>
      <c r="B19" s="1">
        <v>45792</v>
      </c>
      <c r="C19" t="s">
        <v>30</v>
      </c>
      <c r="E19">
        <v>90</v>
      </c>
      <c r="F19">
        <v>1</v>
      </c>
      <c r="G19">
        <v>90</v>
      </c>
      <c r="H19" t="s">
        <v>28</v>
      </c>
    </row>
    <row r="20" spans="1:8">
      <c r="A20" t="s">
        <v>51</v>
      </c>
      <c r="B20" s="1">
        <v>45799</v>
      </c>
      <c r="C20" t="s">
        <v>52</v>
      </c>
      <c r="D20" t="s">
        <v>53</v>
      </c>
      <c r="E20">
        <v>70</v>
      </c>
      <c r="F20">
        <v>3</v>
      </c>
      <c r="G20">
        <v>210</v>
      </c>
      <c r="H20" t="s">
        <v>17</v>
      </c>
    </row>
    <row r="21" spans="1:8">
      <c r="A21" t="s">
        <v>54</v>
      </c>
      <c r="B21" s="1">
        <v>45812</v>
      </c>
      <c r="C21" t="s">
        <v>35</v>
      </c>
      <c r="D21" t="s">
        <v>36</v>
      </c>
      <c r="E21">
        <v>90</v>
      </c>
      <c r="F21">
        <v>3</v>
      </c>
      <c r="G21">
        <v>270</v>
      </c>
      <c r="H21" t="s">
        <v>28</v>
      </c>
    </row>
    <row r="22" spans="1:8">
      <c r="A22" t="s">
        <v>55</v>
      </c>
      <c r="B22" s="1">
        <v>45806</v>
      </c>
      <c r="C22" t="s">
        <v>9</v>
      </c>
      <c r="D22" t="s">
        <v>10</v>
      </c>
      <c r="F22">
        <v>5</v>
      </c>
      <c r="G22">
        <v>550</v>
      </c>
      <c r="H22" t="s">
        <v>11</v>
      </c>
    </row>
    <row r="23" spans="1:8">
      <c r="A23" t="s">
        <v>56</v>
      </c>
      <c r="B23" s="1">
        <v>45694</v>
      </c>
      <c r="C23" t="s">
        <v>9</v>
      </c>
      <c r="E23">
        <v>110</v>
      </c>
      <c r="F23">
        <v>1</v>
      </c>
      <c r="G23">
        <v>110</v>
      </c>
      <c r="H23" t="s">
        <v>28</v>
      </c>
    </row>
    <row r="24" spans="1:8">
      <c r="A24" t="s">
        <v>57</v>
      </c>
      <c r="B24" s="1">
        <v>45870</v>
      </c>
      <c r="C24" t="s">
        <v>25</v>
      </c>
      <c r="D24" t="s">
        <v>26</v>
      </c>
      <c r="E24">
        <v>90</v>
      </c>
      <c r="F24">
        <v>1</v>
      </c>
      <c r="H24" t="s">
        <v>28</v>
      </c>
    </row>
    <row r="25" spans="1:8">
      <c r="A25" t="s">
        <v>58</v>
      </c>
      <c r="B25" s="1">
        <v>45681</v>
      </c>
      <c r="C25" t="s">
        <v>13</v>
      </c>
      <c r="D25" t="s">
        <v>59</v>
      </c>
      <c r="E25">
        <v>350</v>
      </c>
      <c r="F25">
        <v>3</v>
      </c>
      <c r="G25">
        <v>1050</v>
      </c>
      <c r="H25" t="s">
        <v>11</v>
      </c>
    </row>
    <row r="26" spans="1:8">
      <c r="A26" t="s">
        <v>60</v>
      </c>
      <c r="B26" s="1">
        <v>45721</v>
      </c>
      <c r="C26" t="s">
        <v>21</v>
      </c>
      <c r="D26" t="s">
        <v>61</v>
      </c>
      <c r="F26">
        <v>1</v>
      </c>
      <c r="G26">
        <v>650</v>
      </c>
      <c r="H26" t="s">
        <v>11</v>
      </c>
    </row>
    <row r="27" spans="1:8">
      <c r="A27" t="s">
        <v>62</v>
      </c>
      <c r="B27" s="1">
        <v>45685</v>
      </c>
      <c r="C27" t="s">
        <v>30</v>
      </c>
      <c r="D27" t="s">
        <v>31</v>
      </c>
      <c r="E27">
        <v>350</v>
      </c>
      <c r="F27">
        <v>2</v>
      </c>
      <c r="G27">
        <v>700</v>
      </c>
      <c r="H27" t="s">
        <v>17</v>
      </c>
    </row>
    <row r="28" spans="1:8">
      <c r="A28" t="s">
        <v>63</v>
      </c>
      <c r="B28" s="1">
        <v>45856</v>
      </c>
      <c r="C28" t="s">
        <v>13</v>
      </c>
      <c r="D28" t="s">
        <v>59</v>
      </c>
      <c r="E28">
        <v>350</v>
      </c>
      <c r="F28">
        <v>2</v>
      </c>
      <c r="G28">
        <v>700</v>
      </c>
      <c r="H28" t="s">
        <v>28</v>
      </c>
    </row>
    <row r="29" spans="1:8">
      <c r="A29" t="s">
        <v>64</v>
      </c>
      <c r="B29" s="1">
        <v>45888</v>
      </c>
      <c r="C29" t="s">
        <v>21</v>
      </c>
      <c r="E29">
        <v>75</v>
      </c>
      <c r="F29">
        <v>5</v>
      </c>
      <c r="G29">
        <v>375</v>
      </c>
      <c r="H29" t="s">
        <v>23</v>
      </c>
    </row>
    <row r="30" spans="1:8">
      <c r="A30" t="s">
        <v>65</v>
      </c>
      <c r="B30" s="1">
        <v>45678</v>
      </c>
      <c r="C30" t="s">
        <v>21</v>
      </c>
      <c r="D30" t="s">
        <v>22</v>
      </c>
      <c r="F30">
        <v>5</v>
      </c>
      <c r="G30">
        <v>1100</v>
      </c>
      <c r="H30" t="s">
        <v>11</v>
      </c>
    </row>
    <row r="31" spans="1:8">
      <c r="A31" t="s">
        <v>66</v>
      </c>
      <c r="B31" s="1">
        <v>45673</v>
      </c>
      <c r="C31" t="s">
        <v>52</v>
      </c>
      <c r="D31" t="s">
        <v>67</v>
      </c>
      <c r="E31">
        <v>120</v>
      </c>
      <c r="F31">
        <v>1</v>
      </c>
      <c r="G31">
        <v>120</v>
      </c>
      <c r="H31" t="s">
        <v>11</v>
      </c>
    </row>
    <row r="32" spans="1:8">
      <c r="A32" t="s">
        <v>68</v>
      </c>
      <c r="B32" s="1">
        <v>45672</v>
      </c>
      <c r="C32" t="s">
        <v>25</v>
      </c>
      <c r="D32" t="s">
        <v>26</v>
      </c>
      <c r="E32">
        <v>90</v>
      </c>
      <c r="F32">
        <v>2</v>
      </c>
      <c r="G32">
        <v>180</v>
      </c>
      <c r="H32" t="s">
        <v>17</v>
      </c>
    </row>
    <row r="33" spans="1:8">
      <c r="A33" t="s">
        <v>69</v>
      </c>
      <c r="B33" s="1">
        <v>45766</v>
      </c>
      <c r="C33" t="s">
        <v>30</v>
      </c>
      <c r="D33" t="s">
        <v>70</v>
      </c>
      <c r="F33">
        <v>3</v>
      </c>
      <c r="G33">
        <v>2700</v>
      </c>
      <c r="H33" t="s">
        <v>28</v>
      </c>
    </row>
    <row r="34" spans="1:8">
      <c r="A34" t="s">
        <v>71</v>
      </c>
      <c r="B34" s="1">
        <v>45824</v>
      </c>
      <c r="C34" t="s">
        <v>13</v>
      </c>
      <c r="D34" t="s">
        <v>72</v>
      </c>
      <c r="E34">
        <v>3200</v>
      </c>
      <c r="F34">
        <v>3</v>
      </c>
      <c r="G34">
        <v>9600</v>
      </c>
      <c r="H34" t="s">
        <v>11</v>
      </c>
    </row>
    <row r="35" spans="1:8">
      <c r="A35" t="s">
        <v>73</v>
      </c>
      <c r="B35" s="1">
        <v>45888</v>
      </c>
      <c r="C35" t="s">
        <v>13</v>
      </c>
      <c r="D35" t="s">
        <v>59</v>
      </c>
      <c r="E35">
        <v>350</v>
      </c>
      <c r="F35">
        <v>6</v>
      </c>
      <c r="G35">
        <v>2100</v>
      </c>
      <c r="H35" t="s">
        <v>23</v>
      </c>
    </row>
    <row r="36" spans="1:8">
      <c r="A36" t="s">
        <v>74</v>
      </c>
      <c r="B36" s="1">
        <v>45745</v>
      </c>
      <c r="C36" t="s">
        <v>9</v>
      </c>
      <c r="D36" t="s">
        <v>19</v>
      </c>
      <c r="F36">
        <v>2</v>
      </c>
      <c r="G36">
        <v>500</v>
      </c>
      <c r="H36" t="s">
        <v>28</v>
      </c>
    </row>
    <row r="37" spans="1:8">
      <c r="A37" t="s">
        <v>75</v>
      </c>
      <c r="B37" s="1">
        <v>45782</v>
      </c>
      <c r="C37" t="s">
        <v>76</v>
      </c>
      <c r="D37" t="s">
        <v>42</v>
      </c>
      <c r="E37">
        <v>30</v>
      </c>
      <c r="F37">
        <v>4</v>
      </c>
      <c r="G37">
        <v>120</v>
      </c>
      <c r="H37" t="s">
        <v>17</v>
      </c>
    </row>
    <row r="38" spans="1:8">
      <c r="A38" t="s">
        <v>77</v>
      </c>
      <c r="B38" s="1">
        <v>45781</v>
      </c>
      <c r="C38" t="s">
        <v>30</v>
      </c>
      <c r="D38" t="s">
        <v>78</v>
      </c>
      <c r="E38">
        <v>90</v>
      </c>
      <c r="F38">
        <v>5</v>
      </c>
      <c r="H38" t="s">
        <v>23</v>
      </c>
    </row>
    <row r="39" spans="1:8">
      <c r="A39" t="s">
        <v>79</v>
      </c>
      <c r="B39" s="1">
        <v>45791</v>
      </c>
      <c r="C39" t="s">
        <v>30</v>
      </c>
      <c r="D39" t="s">
        <v>31</v>
      </c>
      <c r="E39">
        <v>350</v>
      </c>
      <c r="F39">
        <v>1</v>
      </c>
      <c r="G39">
        <v>525</v>
      </c>
      <c r="H39" t="s">
        <v>11</v>
      </c>
    </row>
    <row r="40" spans="1:8">
      <c r="A40" t="s">
        <v>80</v>
      </c>
      <c r="B40" s="1">
        <v>45835</v>
      </c>
      <c r="C40" t="s">
        <v>9</v>
      </c>
      <c r="D40" t="s">
        <v>19</v>
      </c>
      <c r="E40">
        <v>250</v>
      </c>
      <c r="F40">
        <v>4</v>
      </c>
      <c r="G40">
        <v>1500</v>
      </c>
      <c r="H40" t="s">
        <v>28</v>
      </c>
    </row>
    <row r="41" spans="1:8">
      <c r="A41" t="s">
        <v>81</v>
      </c>
      <c r="B41" s="1">
        <v>45856</v>
      </c>
      <c r="C41" t="s">
        <v>9</v>
      </c>
      <c r="D41" t="s">
        <v>82</v>
      </c>
      <c r="E41">
        <v>350</v>
      </c>
      <c r="F41">
        <v>3</v>
      </c>
      <c r="G41">
        <v>1050</v>
      </c>
      <c r="H41" t="s">
        <v>11</v>
      </c>
    </row>
    <row r="42" spans="1:8">
      <c r="A42" t="s">
        <v>83</v>
      </c>
      <c r="B42" s="1">
        <v>45660</v>
      </c>
      <c r="C42" t="s">
        <v>30</v>
      </c>
      <c r="E42">
        <v>350</v>
      </c>
      <c r="F42">
        <v>5</v>
      </c>
      <c r="G42">
        <v>1750</v>
      </c>
      <c r="H42" t="s">
        <v>17</v>
      </c>
    </row>
    <row r="43" spans="1:8">
      <c r="A43" t="s">
        <v>84</v>
      </c>
      <c r="B43" s="1">
        <v>45696</v>
      </c>
      <c r="C43" t="s">
        <v>35</v>
      </c>
      <c r="E43">
        <v>180</v>
      </c>
      <c r="F43">
        <v>2</v>
      </c>
      <c r="G43">
        <v>360</v>
      </c>
      <c r="H43" t="s">
        <v>23</v>
      </c>
    </row>
    <row r="44" spans="1:8">
      <c r="A44" t="s">
        <v>85</v>
      </c>
      <c r="B44" s="1">
        <v>45862</v>
      </c>
      <c r="C44" t="s">
        <v>13</v>
      </c>
      <c r="D44" t="s">
        <v>59</v>
      </c>
      <c r="E44">
        <v>350</v>
      </c>
      <c r="F44">
        <v>3</v>
      </c>
      <c r="G44">
        <v>1050</v>
      </c>
      <c r="H44" t="s">
        <v>11</v>
      </c>
    </row>
    <row r="45" spans="1:8">
      <c r="A45" t="s">
        <v>86</v>
      </c>
      <c r="B45" s="1">
        <v>45716</v>
      </c>
      <c r="C45" t="s">
        <v>35</v>
      </c>
      <c r="D45" t="s">
        <v>87</v>
      </c>
      <c r="E45">
        <v>45</v>
      </c>
      <c r="F45">
        <v>1</v>
      </c>
      <c r="G45">
        <v>45</v>
      </c>
      <c r="H45" t="s">
        <v>17</v>
      </c>
    </row>
    <row r="46" spans="1:8">
      <c r="A46" t="s">
        <v>88</v>
      </c>
      <c r="B46" s="1">
        <v>45705</v>
      </c>
      <c r="C46" t="s">
        <v>16</v>
      </c>
      <c r="D46" t="s">
        <v>40</v>
      </c>
      <c r="E46">
        <v>1200</v>
      </c>
      <c r="G46">
        <v>7200</v>
      </c>
      <c r="H46" t="s">
        <v>11</v>
      </c>
    </row>
    <row r="47" spans="1:8">
      <c r="A47" t="s">
        <v>89</v>
      </c>
      <c r="B47" s="1">
        <v>45744</v>
      </c>
      <c r="C47" t="s">
        <v>90</v>
      </c>
      <c r="D47" t="s">
        <v>82</v>
      </c>
      <c r="E47">
        <v>350</v>
      </c>
      <c r="F47">
        <v>4</v>
      </c>
      <c r="G47">
        <v>1400</v>
      </c>
      <c r="H47" t="s">
        <v>28</v>
      </c>
    </row>
    <row r="48" spans="1:8">
      <c r="A48" t="s">
        <v>91</v>
      </c>
      <c r="B48" s="1">
        <v>45677</v>
      </c>
      <c r="C48" t="s">
        <v>21</v>
      </c>
      <c r="D48" t="s">
        <v>92</v>
      </c>
      <c r="E48">
        <v>75</v>
      </c>
      <c r="F48">
        <v>3</v>
      </c>
      <c r="G48">
        <v>225</v>
      </c>
      <c r="H48" t="s">
        <v>17</v>
      </c>
    </row>
    <row r="49" spans="1:8">
      <c r="A49" t="s">
        <v>93</v>
      </c>
      <c r="B49" s="1">
        <v>45677</v>
      </c>
      <c r="C49" t="s">
        <v>52</v>
      </c>
      <c r="D49" t="s">
        <v>94</v>
      </c>
      <c r="E49">
        <v>150</v>
      </c>
      <c r="F49">
        <v>2</v>
      </c>
      <c r="G49">
        <v>300</v>
      </c>
      <c r="H49" t="s">
        <v>23</v>
      </c>
    </row>
    <row r="50" spans="1:8">
      <c r="A50" t="s">
        <v>95</v>
      </c>
      <c r="B50" s="1">
        <v>45825</v>
      </c>
      <c r="C50" t="s">
        <v>16</v>
      </c>
      <c r="E50">
        <v>1200</v>
      </c>
      <c r="F50">
        <v>2</v>
      </c>
      <c r="G50">
        <v>2400</v>
      </c>
      <c r="H50" t="s">
        <v>23</v>
      </c>
    </row>
    <row r="51" spans="1:8">
      <c r="A51" t="s">
        <v>96</v>
      </c>
      <c r="B51" s="1">
        <v>45783</v>
      </c>
      <c r="C51" t="s">
        <v>35</v>
      </c>
      <c r="D51" t="s">
        <v>36</v>
      </c>
      <c r="E51">
        <v>90</v>
      </c>
      <c r="F51">
        <v>4</v>
      </c>
      <c r="G51">
        <v>360</v>
      </c>
      <c r="H51" t="s">
        <v>17</v>
      </c>
    </row>
    <row r="52" spans="1:8">
      <c r="A52" t="s">
        <v>97</v>
      </c>
      <c r="B52" s="1">
        <v>45729</v>
      </c>
      <c r="C52" t="s">
        <v>25</v>
      </c>
      <c r="D52" t="s">
        <v>98</v>
      </c>
      <c r="E52">
        <v>35</v>
      </c>
      <c r="F52">
        <v>3</v>
      </c>
      <c r="G52">
        <v>105</v>
      </c>
      <c r="H52" t="s">
        <v>23</v>
      </c>
    </row>
    <row r="53" spans="1:8">
      <c r="A53" t="s">
        <v>99</v>
      </c>
      <c r="B53" s="1">
        <v>45839</v>
      </c>
      <c r="C53" t="s">
        <v>35</v>
      </c>
      <c r="D53" t="s">
        <v>100</v>
      </c>
      <c r="E53">
        <v>60</v>
      </c>
      <c r="G53">
        <v>60</v>
      </c>
      <c r="H53" t="s">
        <v>17</v>
      </c>
    </row>
    <row r="54" spans="1:8">
      <c r="A54" t="s">
        <v>101</v>
      </c>
      <c r="B54" s="1">
        <v>45679</v>
      </c>
      <c r="C54" t="s">
        <v>16</v>
      </c>
      <c r="D54" t="s">
        <v>102</v>
      </c>
      <c r="E54">
        <v>300</v>
      </c>
      <c r="F54">
        <v>2</v>
      </c>
      <c r="G54">
        <v>600</v>
      </c>
      <c r="H54" t="s">
        <v>11</v>
      </c>
    </row>
    <row r="55" spans="1:8">
      <c r="A55" t="s">
        <v>103</v>
      </c>
      <c r="B55" s="1">
        <v>45743</v>
      </c>
      <c r="C55" t="s">
        <v>35</v>
      </c>
      <c r="D55" t="s">
        <v>104</v>
      </c>
      <c r="E55">
        <v>20</v>
      </c>
      <c r="F55">
        <v>1</v>
      </c>
      <c r="G55">
        <v>20</v>
      </c>
      <c r="H55" t="s">
        <v>11</v>
      </c>
    </row>
    <row r="56" spans="1:8">
      <c r="A56" t="s">
        <v>105</v>
      </c>
      <c r="B56" s="1">
        <v>45726</v>
      </c>
      <c r="C56" t="s">
        <v>30</v>
      </c>
      <c r="D56" t="s">
        <v>70</v>
      </c>
      <c r="E56">
        <v>900</v>
      </c>
      <c r="G56">
        <v>900</v>
      </c>
      <c r="H56" t="s">
        <v>28</v>
      </c>
    </row>
    <row r="57" spans="1:8">
      <c r="A57" t="s">
        <v>106</v>
      </c>
      <c r="B57" s="1">
        <v>45827</v>
      </c>
      <c r="C57" t="s">
        <v>16</v>
      </c>
      <c r="D57" t="s">
        <v>47</v>
      </c>
      <c r="E57">
        <v>800</v>
      </c>
      <c r="F57">
        <v>3</v>
      </c>
      <c r="G57">
        <v>2400</v>
      </c>
      <c r="H57" t="s">
        <v>28</v>
      </c>
    </row>
    <row r="58" spans="1:8">
      <c r="A58" t="s">
        <v>107</v>
      </c>
      <c r="B58" s="1">
        <v>45806</v>
      </c>
      <c r="C58" t="s">
        <v>30</v>
      </c>
      <c r="D58" t="s">
        <v>78</v>
      </c>
      <c r="E58">
        <v>90</v>
      </c>
      <c r="F58">
        <v>1</v>
      </c>
      <c r="G58">
        <v>90</v>
      </c>
      <c r="H58" t="s">
        <v>23</v>
      </c>
    </row>
    <row r="59" spans="1:8">
      <c r="A59" t="s">
        <v>108</v>
      </c>
      <c r="B59" s="1">
        <v>45667</v>
      </c>
      <c r="C59" t="s">
        <v>52</v>
      </c>
      <c r="D59" t="s">
        <v>67</v>
      </c>
      <c r="E59">
        <v>120</v>
      </c>
      <c r="F59">
        <v>5</v>
      </c>
      <c r="G59">
        <v>600</v>
      </c>
      <c r="H59" t="s">
        <v>23</v>
      </c>
    </row>
    <row r="60" spans="1:8">
      <c r="A60" t="s">
        <v>109</v>
      </c>
      <c r="B60" s="1">
        <v>45870</v>
      </c>
      <c r="C60" t="s">
        <v>52</v>
      </c>
      <c r="D60" t="s">
        <v>53</v>
      </c>
      <c r="E60">
        <v>70</v>
      </c>
      <c r="F60">
        <v>1</v>
      </c>
      <c r="G60">
        <v>105</v>
      </c>
      <c r="H60" t="s">
        <v>11</v>
      </c>
    </row>
    <row r="61" spans="1:8">
      <c r="A61" t="s">
        <v>110</v>
      </c>
      <c r="B61" s="1">
        <v>45764</v>
      </c>
      <c r="C61" t="s">
        <v>9</v>
      </c>
      <c r="D61" t="s">
        <v>10</v>
      </c>
      <c r="E61">
        <v>110</v>
      </c>
      <c r="F61">
        <v>4</v>
      </c>
      <c r="G61">
        <v>440</v>
      </c>
      <c r="H61" t="s">
        <v>28</v>
      </c>
    </row>
    <row r="62" spans="1:8">
      <c r="A62" t="s">
        <v>111</v>
      </c>
      <c r="B62" s="1">
        <v>45898</v>
      </c>
      <c r="C62" t="s">
        <v>9</v>
      </c>
      <c r="D62" t="s">
        <v>82</v>
      </c>
      <c r="E62">
        <v>350</v>
      </c>
      <c r="F62">
        <v>3</v>
      </c>
      <c r="G62">
        <v>1050</v>
      </c>
      <c r="H62" t="s">
        <v>23</v>
      </c>
    </row>
    <row r="63" spans="1:8">
      <c r="A63" t="s">
        <v>112</v>
      </c>
      <c r="B63" s="1">
        <v>45731</v>
      </c>
      <c r="C63" t="s">
        <v>35</v>
      </c>
      <c r="D63" t="s">
        <v>36</v>
      </c>
      <c r="E63">
        <v>90</v>
      </c>
      <c r="F63">
        <v>6</v>
      </c>
      <c r="H63" t="s">
        <v>11</v>
      </c>
    </row>
    <row r="64" spans="1:8">
      <c r="A64" t="s">
        <v>113</v>
      </c>
      <c r="B64" s="1">
        <v>45762</v>
      </c>
      <c r="C64" t="s">
        <v>25</v>
      </c>
      <c r="D64" t="s">
        <v>114</v>
      </c>
      <c r="F64">
        <v>6</v>
      </c>
      <c r="G64">
        <v>330</v>
      </c>
      <c r="H64" t="s">
        <v>17</v>
      </c>
    </row>
    <row r="65" spans="1:8">
      <c r="A65" t="s">
        <v>115</v>
      </c>
      <c r="B65" s="1">
        <v>45808</v>
      </c>
      <c r="C65" t="s">
        <v>13</v>
      </c>
      <c r="D65" t="s">
        <v>14</v>
      </c>
      <c r="E65">
        <v>2500</v>
      </c>
      <c r="F65">
        <v>6</v>
      </c>
      <c r="G65">
        <v>15000</v>
      </c>
      <c r="H65" t="s">
        <v>11</v>
      </c>
    </row>
    <row r="66" spans="1:8">
      <c r="A66" t="s">
        <v>116</v>
      </c>
      <c r="B66" s="1">
        <v>45805</v>
      </c>
      <c r="C66" t="s">
        <v>13</v>
      </c>
      <c r="D66" t="s">
        <v>59</v>
      </c>
      <c r="E66">
        <v>350</v>
      </c>
      <c r="F66">
        <v>3</v>
      </c>
      <c r="G66">
        <v>1050</v>
      </c>
      <c r="H66" t="s">
        <v>11</v>
      </c>
    </row>
    <row r="67" spans="1:8">
      <c r="A67" t="s">
        <v>117</v>
      </c>
      <c r="B67" s="1">
        <v>45851</v>
      </c>
      <c r="C67" t="s">
        <v>9</v>
      </c>
      <c r="D67" t="s">
        <v>82</v>
      </c>
      <c r="E67">
        <v>350</v>
      </c>
      <c r="F67">
        <v>1</v>
      </c>
      <c r="G67">
        <v>350</v>
      </c>
      <c r="H67" t="s">
        <v>17</v>
      </c>
    </row>
    <row r="68" spans="1:8">
      <c r="A68" t="s">
        <v>118</v>
      </c>
      <c r="B68" s="1">
        <v>45719</v>
      </c>
      <c r="C68" t="s">
        <v>13</v>
      </c>
      <c r="D68" t="s">
        <v>59</v>
      </c>
      <c r="E68">
        <v>350</v>
      </c>
      <c r="F68">
        <v>2</v>
      </c>
      <c r="G68">
        <v>700</v>
      </c>
      <c r="H68" t="s">
        <v>11</v>
      </c>
    </row>
    <row r="69" spans="1:8">
      <c r="A69" t="s">
        <v>119</v>
      </c>
      <c r="B69" s="1">
        <v>45716</v>
      </c>
      <c r="C69" t="s">
        <v>9</v>
      </c>
      <c r="D69" t="s">
        <v>120</v>
      </c>
      <c r="F69">
        <v>3</v>
      </c>
      <c r="G69">
        <v>180</v>
      </c>
      <c r="H69" t="s">
        <v>23</v>
      </c>
    </row>
    <row r="70" spans="1:8">
      <c r="A70" t="s">
        <v>121</v>
      </c>
      <c r="B70" s="1">
        <v>45894</v>
      </c>
      <c r="C70" t="s">
        <v>21</v>
      </c>
      <c r="D70" t="s">
        <v>122</v>
      </c>
      <c r="E70">
        <v>190</v>
      </c>
      <c r="F70">
        <v>3</v>
      </c>
      <c r="G70">
        <v>570</v>
      </c>
      <c r="H70" t="s">
        <v>11</v>
      </c>
    </row>
    <row r="71" spans="1:8">
      <c r="A71" t="s">
        <v>123</v>
      </c>
      <c r="B71" s="1">
        <v>45678</v>
      </c>
      <c r="C71" t="s">
        <v>25</v>
      </c>
      <c r="D71" t="s">
        <v>124</v>
      </c>
      <c r="E71">
        <v>40</v>
      </c>
      <c r="G71">
        <v>160</v>
      </c>
      <c r="H71" t="s">
        <v>23</v>
      </c>
    </row>
    <row r="72" spans="1:8">
      <c r="A72" t="s">
        <v>125</v>
      </c>
      <c r="B72" s="1">
        <v>45737</v>
      </c>
      <c r="C72" t="s">
        <v>52</v>
      </c>
      <c r="D72" t="s">
        <v>67</v>
      </c>
      <c r="F72">
        <v>3</v>
      </c>
      <c r="G72">
        <v>360</v>
      </c>
      <c r="H72" t="s">
        <v>28</v>
      </c>
    </row>
    <row r="73" spans="1:8">
      <c r="A73" t="s">
        <v>126</v>
      </c>
      <c r="B73" s="1">
        <v>45863</v>
      </c>
      <c r="C73" t="s">
        <v>13</v>
      </c>
      <c r="D73" t="s">
        <v>127</v>
      </c>
      <c r="E73">
        <v>700</v>
      </c>
      <c r="F73">
        <v>6</v>
      </c>
      <c r="G73">
        <v>4200</v>
      </c>
      <c r="H73" t="s">
        <v>11</v>
      </c>
    </row>
    <row r="74" spans="1:8">
      <c r="A74" t="s">
        <v>128</v>
      </c>
      <c r="B74" s="1">
        <v>45682</v>
      </c>
      <c r="C74" t="s">
        <v>21</v>
      </c>
      <c r="D74" t="s">
        <v>44</v>
      </c>
      <c r="E74">
        <v>380</v>
      </c>
      <c r="F74">
        <v>4</v>
      </c>
      <c r="G74">
        <v>1520</v>
      </c>
      <c r="H74" t="s">
        <v>28</v>
      </c>
    </row>
    <row r="75" spans="1:8">
      <c r="A75" t="s">
        <v>129</v>
      </c>
      <c r="B75" s="1">
        <v>45822</v>
      </c>
      <c r="C75" t="s">
        <v>35</v>
      </c>
      <c r="D75" t="s">
        <v>87</v>
      </c>
      <c r="F75">
        <v>1</v>
      </c>
      <c r="G75">
        <v>45</v>
      </c>
      <c r="H75" t="s">
        <v>28</v>
      </c>
    </row>
    <row r="76" spans="1:8">
      <c r="A76" t="s">
        <v>130</v>
      </c>
      <c r="B76" s="1">
        <v>45734</v>
      </c>
      <c r="C76" t="s">
        <v>21</v>
      </c>
      <c r="D76" t="s">
        <v>44</v>
      </c>
      <c r="E76">
        <v>380</v>
      </c>
      <c r="F76">
        <v>5</v>
      </c>
      <c r="G76">
        <v>1900</v>
      </c>
      <c r="H76" t="s">
        <v>28</v>
      </c>
    </row>
    <row r="77" spans="1:8">
      <c r="A77" t="s">
        <v>131</v>
      </c>
      <c r="B77" s="1">
        <v>45877</v>
      </c>
      <c r="C77" t="s">
        <v>52</v>
      </c>
      <c r="E77">
        <v>70</v>
      </c>
      <c r="F77">
        <v>6</v>
      </c>
      <c r="G77">
        <v>420</v>
      </c>
      <c r="H77" t="s">
        <v>17</v>
      </c>
    </row>
    <row r="78" spans="1:8">
      <c r="A78" t="s">
        <v>132</v>
      </c>
      <c r="B78" s="1">
        <v>45755</v>
      </c>
      <c r="C78" t="s">
        <v>9</v>
      </c>
      <c r="D78" t="s">
        <v>82</v>
      </c>
      <c r="E78">
        <v>350</v>
      </c>
      <c r="F78">
        <v>1</v>
      </c>
      <c r="G78">
        <v>350</v>
      </c>
      <c r="H78" t="s">
        <v>23</v>
      </c>
    </row>
    <row r="79" spans="1:8">
      <c r="A79" t="s">
        <v>133</v>
      </c>
      <c r="B79" s="1">
        <v>45814</v>
      </c>
      <c r="C79" t="s">
        <v>13</v>
      </c>
      <c r="E79">
        <v>2500</v>
      </c>
      <c r="F79">
        <v>2</v>
      </c>
      <c r="G79">
        <v>5000</v>
      </c>
      <c r="H79" t="s">
        <v>17</v>
      </c>
    </row>
    <row r="80" spans="1:8">
      <c r="A80" t="s">
        <v>134</v>
      </c>
      <c r="B80" s="1">
        <v>45854</v>
      </c>
      <c r="C80" t="s">
        <v>30</v>
      </c>
      <c r="D80" t="s">
        <v>31</v>
      </c>
      <c r="E80">
        <v>350</v>
      </c>
      <c r="F80">
        <v>5</v>
      </c>
      <c r="G80">
        <v>1750</v>
      </c>
      <c r="H80" t="s">
        <v>17</v>
      </c>
    </row>
    <row r="81" spans="1:8">
      <c r="A81" t="s">
        <v>135</v>
      </c>
      <c r="B81" s="1">
        <v>45845</v>
      </c>
      <c r="C81" t="s">
        <v>21</v>
      </c>
      <c r="D81" t="s">
        <v>44</v>
      </c>
      <c r="E81">
        <v>380</v>
      </c>
      <c r="F81">
        <v>2</v>
      </c>
      <c r="G81">
        <v>760</v>
      </c>
      <c r="H81" t="s">
        <v>17</v>
      </c>
    </row>
    <row r="82" spans="1:8">
      <c r="A82" t="s">
        <v>136</v>
      </c>
      <c r="B82" s="1">
        <v>45849</v>
      </c>
      <c r="C82" t="s">
        <v>35</v>
      </c>
      <c r="D82" t="s">
        <v>87</v>
      </c>
      <c r="E82">
        <v>45</v>
      </c>
      <c r="F82">
        <v>1</v>
      </c>
      <c r="G82">
        <v>67.5</v>
      </c>
      <c r="H82" t="s">
        <v>11</v>
      </c>
    </row>
    <row r="83" spans="1:8">
      <c r="A83" t="s">
        <v>137</v>
      </c>
      <c r="B83" s="1">
        <v>45890</v>
      </c>
      <c r="C83" t="s">
        <v>21</v>
      </c>
      <c r="D83" t="s">
        <v>61</v>
      </c>
      <c r="E83">
        <v>650</v>
      </c>
      <c r="G83">
        <v>1950</v>
      </c>
      <c r="H83" t="s">
        <v>17</v>
      </c>
    </row>
    <row r="84" spans="1:8">
      <c r="A84" t="s">
        <v>138</v>
      </c>
      <c r="B84" s="1">
        <v>45847</v>
      </c>
      <c r="C84" t="s">
        <v>35</v>
      </c>
      <c r="D84" t="s">
        <v>139</v>
      </c>
      <c r="E84">
        <v>180</v>
      </c>
      <c r="F84">
        <v>2</v>
      </c>
      <c r="G84">
        <v>360</v>
      </c>
      <c r="H84" t="s">
        <v>28</v>
      </c>
    </row>
    <row r="85" spans="1:8">
      <c r="A85" t="s">
        <v>140</v>
      </c>
      <c r="B85" s="1">
        <v>45839</v>
      </c>
      <c r="C85" t="s">
        <v>13</v>
      </c>
      <c r="D85" t="s">
        <v>141</v>
      </c>
      <c r="E85">
        <v>1800</v>
      </c>
      <c r="F85">
        <v>2</v>
      </c>
      <c r="H85" t="s">
        <v>11</v>
      </c>
    </row>
    <row r="86" spans="1:8">
      <c r="A86" t="s">
        <v>142</v>
      </c>
      <c r="B86" s="1">
        <v>45833</v>
      </c>
      <c r="C86" t="s">
        <v>30</v>
      </c>
      <c r="D86" t="s">
        <v>70</v>
      </c>
      <c r="E86">
        <v>900</v>
      </c>
      <c r="F86">
        <v>1</v>
      </c>
      <c r="G86">
        <v>900</v>
      </c>
      <c r="H86" t="s">
        <v>11</v>
      </c>
    </row>
    <row r="87" spans="1:8">
      <c r="A87" t="s">
        <v>143</v>
      </c>
      <c r="B87" s="1">
        <v>45724</v>
      </c>
      <c r="C87" t="s">
        <v>25</v>
      </c>
      <c r="D87" t="s">
        <v>124</v>
      </c>
      <c r="E87">
        <v>40</v>
      </c>
      <c r="G87">
        <v>40</v>
      </c>
      <c r="H87" t="s">
        <v>28</v>
      </c>
    </row>
    <row r="88" spans="1:8">
      <c r="A88" t="s">
        <v>144</v>
      </c>
      <c r="B88" s="1">
        <v>45827</v>
      </c>
      <c r="C88" t="s">
        <v>25</v>
      </c>
      <c r="D88" t="s">
        <v>42</v>
      </c>
      <c r="E88">
        <v>30</v>
      </c>
      <c r="F88">
        <v>4</v>
      </c>
      <c r="G88">
        <v>120</v>
      </c>
      <c r="H88" t="s">
        <v>28</v>
      </c>
    </row>
    <row r="89" spans="1:8">
      <c r="A89" t="s">
        <v>145</v>
      </c>
      <c r="B89" s="1">
        <v>45853</v>
      </c>
      <c r="C89" t="s">
        <v>9</v>
      </c>
      <c r="E89">
        <v>60</v>
      </c>
      <c r="F89">
        <v>6</v>
      </c>
      <c r="G89">
        <v>360</v>
      </c>
      <c r="H89" t="s">
        <v>17</v>
      </c>
    </row>
    <row r="90" spans="1:8">
      <c r="A90" t="s">
        <v>146</v>
      </c>
      <c r="B90" s="1">
        <v>45735</v>
      </c>
      <c r="C90" t="s">
        <v>30</v>
      </c>
      <c r="D90" t="s">
        <v>70</v>
      </c>
      <c r="E90">
        <v>900</v>
      </c>
      <c r="F90">
        <v>6</v>
      </c>
      <c r="G90">
        <v>5400</v>
      </c>
      <c r="H90" t="s">
        <v>28</v>
      </c>
    </row>
    <row r="91" spans="1:8">
      <c r="A91" t="s">
        <v>147</v>
      </c>
      <c r="B91" s="1">
        <v>45831</v>
      </c>
      <c r="C91" t="s">
        <v>52</v>
      </c>
      <c r="D91" t="s">
        <v>148</v>
      </c>
      <c r="E91">
        <v>55</v>
      </c>
      <c r="F91">
        <v>5</v>
      </c>
      <c r="H91" t="s">
        <v>28</v>
      </c>
    </row>
    <row r="92" spans="1:8">
      <c r="A92" t="s">
        <v>149</v>
      </c>
      <c r="B92" s="1">
        <v>45687</v>
      </c>
      <c r="C92" t="s">
        <v>9</v>
      </c>
      <c r="D92" t="s">
        <v>120</v>
      </c>
      <c r="E92">
        <v>60</v>
      </c>
      <c r="F92">
        <v>4</v>
      </c>
      <c r="G92">
        <v>240</v>
      </c>
      <c r="H92" t="s">
        <v>23</v>
      </c>
    </row>
    <row r="93" spans="1:8">
      <c r="A93" t="s">
        <v>150</v>
      </c>
      <c r="B93" s="1">
        <v>45811</v>
      </c>
      <c r="C93" t="s">
        <v>25</v>
      </c>
      <c r="D93" t="s">
        <v>114</v>
      </c>
      <c r="E93">
        <v>55</v>
      </c>
      <c r="F93">
        <v>6</v>
      </c>
      <c r="G93">
        <v>330</v>
      </c>
      <c r="H93" t="s">
        <v>17</v>
      </c>
    </row>
    <row r="94" spans="1:8">
      <c r="A94" t="s">
        <v>151</v>
      </c>
      <c r="B94" s="1">
        <v>45674</v>
      </c>
      <c r="C94" t="s">
        <v>30</v>
      </c>
      <c r="D94" t="s">
        <v>38</v>
      </c>
      <c r="E94">
        <v>150</v>
      </c>
      <c r="F94">
        <v>3</v>
      </c>
      <c r="G94">
        <v>450</v>
      </c>
      <c r="H94" t="s">
        <v>11</v>
      </c>
    </row>
    <row r="95" spans="1:8">
      <c r="A95" t="s">
        <v>152</v>
      </c>
      <c r="B95" s="1">
        <v>45808</v>
      </c>
      <c r="C95" t="s">
        <v>21</v>
      </c>
      <c r="D95" t="s">
        <v>61</v>
      </c>
      <c r="E95">
        <v>650</v>
      </c>
      <c r="F95">
        <v>1</v>
      </c>
      <c r="G95">
        <v>650</v>
      </c>
      <c r="H95" t="s">
        <v>11</v>
      </c>
    </row>
    <row r="96" spans="1:8">
      <c r="A96" t="s">
        <v>153</v>
      </c>
      <c r="B96" s="1">
        <v>45735</v>
      </c>
      <c r="C96" t="s">
        <v>25</v>
      </c>
      <c r="E96">
        <v>90</v>
      </c>
      <c r="F96">
        <v>2</v>
      </c>
      <c r="G96">
        <v>180</v>
      </c>
      <c r="H96" t="s">
        <v>17</v>
      </c>
    </row>
    <row r="97" spans="1:8">
      <c r="A97" t="s">
        <v>154</v>
      </c>
      <c r="B97" s="1">
        <v>45687</v>
      </c>
      <c r="C97" t="s">
        <v>13</v>
      </c>
      <c r="D97" t="s">
        <v>14</v>
      </c>
      <c r="E97">
        <v>2500</v>
      </c>
      <c r="F97">
        <v>3</v>
      </c>
      <c r="G97">
        <v>7500</v>
      </c>
      <c r="H97" t="s">
        <v>23</v>
      </c>
    </row>
    <row r="98" spans="1:8">
      <c r="A98" t="s">
        <v>155</v>
      </c>
      <c r="B98" s="1">
        <v>45784</v>
      </c>
      <c r="C98" t="s">
        <v>25</v>
      </c>
      <c r="E98">
        <v>55</v>
      </c>
      <c r="F98">
        <v>3</v>
      </c>
      <c r="G98">
        <v>165</v>
      </c>
      <c r="H98" t="s">
        <v>11</v>
      </c>
    </row>
    <row r="99" spans="1:8">
      <c r="A99" t="s">
        <v>156</v>
      </c>
      <c r="B99" s="1">
        <v>45705</v>
      </c>
      <c r="C99" t="s">
        <v>30</v>
      </c>
      <c r="D99" t="s">
        <v>38</v>
      </c>
      <c r="E99">
        <v>150</v>
      </c>
      <c r="F99">
        <v>6</v>
      </c>
      <c r="G99">
        <v>900</v>
      </c>
      <c r="H99" t="s">
        <v>11</v>
      </c>
    </row>
    <row r="100" spans="1:8">
      <c r="A100" t="s">
        <v>157</v>
      </c>
      <c r="B100" s="1">
        <v>45756</v>
      </c>
      <c r="C100" t="s">
        <v>16</v>
      </c>
      <c r="D100" t="s">
        <v>158</v>
      </c>
      <c r="E100">
        <v>450</v>
      </c>
      <c r="G100">
        <v>450</v>
      </c>
      <c r="H100" t="s">
        <v>11</v>
      </c>
    </row>
    <row r="101" spans="1:8">
      <c r="A101" t="s">
        <v>159</v>
      </c>
      <c r="B101" s="1">
        <v>45763</v>
      </c>
      <c r="C101" t="s">
        <v>35</v>
      </c>
      <c r="D101" t="s">
        <v>139</v>
      </c>
      <c r="E101">
        <v>180</v>
      </c>
      <c r="F101">
        <v>5</v>
      </c>
      <c r="G101">
        <v>900</v>
      </c>
      <c r="H101" t="s">
        <v>28</v>
      </c>
    </row>
    <row r="102" spans="1:8">
      <c r="A102" t="s">
        <v>160</v>
      </c>
      <c r="B102" s="1">
        <v>45831</v>
      </c>
      <c r="C102" t="s">
        <v>16</v>
      </c>
      <c r="D102" t="s">
        <v>158</v>
      </c>
      <c r="E102">
        <v>450</v>
      </c>
      <c r="F102">
        <v>4</v>
      </c>
      <c r="G102">
        <v>1800</v>
      </c>
      <c r="H102" t="s">
        <v>23</v>
      </c>
    </row>
    <row r="103" spans="1:8">
      <c r="A103" t="s">
        <v>161</v>
      </c>
      <c r="B103" s="1">
        <v>45823</v>
      </c>
      <c r="C103" t="s">
        <v>35</v>
      </c>
      <c r="E103">
        <v>180</v>
      </c>
      <c r="F103">
        <v>6</v>
      </c>
      <c r="G103">
        <v>1080</v>
      </c>
      <c r="H103" t="s">
        <v>23</v>
      </c>
    </row>
    <row r="104" spans="1:8">
      <c r="A104" t="s">
        <v>162</v>
      </c>
      <c r="B104" s="1">
        <v>45779</v>
      </c>
      <c r="C104" t="s">
        <v>13</v>
      </c>
      <c r="D104" t="s">
        <v>127</v>
      </c>
      <c r="E104">
        <v>700</v>
      </c>
      <c r="F104">
        <v>3</v>
      </c>
      <c r="G104">
        <v>2100</v>
      </c>
      <c r="H104" t="s">
        <v>23</v>
      </c>
    </row>
    <row r="105" spans="1:8">
      <c r="A105" t="s">
        <v>163</v>
      </c>
      <c r="B105" s="1">
        <v>45782</v>
      </c>
      <c r="C105" t="s">
        <v>25</v>
      </c>
      <c r="D105" t="s">
        <v>42</v>
      </c>
      <c r="E105">
        <v>30</v>
      </c>
      <c r="F105">
        <v>5</v>
      </c>
      <c r="H105" t="s">
        <v>11</v>
      </c>
    </row>
    <row r="106" spans="1:8">
      <c r="A106" t="s">
        <v>164</v>
      </c>
      <c r="B106" s="1">
        <v>45702</v>
      </c>
      <c r="C106" t="s">
        <v>9</v>
      </c>
      <c r="D106" t="s">
        <v>10</v>
      </c>
      <c r="F106">
        <v>2</v>
      </c>
      <c r="G106">
        <v>220</v>
      </c>
      <c r="H106" t="s">
        <v>17</v>
      </c>
    </row>
    <row r="107" spans="1:8">
      <c r="A107" t="s">
        <v>165</v>
      </c>
      <c r="B107" s="1">
        <v>45664</v>
      </c>
      <c r="C107" t="s">
        <v>9</v>
      </c>
      <c r="D107" t="s">
        <v>82</v>
      </c>
      <c r="E107">
        <v>350</v>
      </c>
      <c r="F107">
        <v>4</v>
      </c>
      <c r="G107">
        <v>1400</v>
      </c>
      <c r="H107" t="s">
        <v>23</v>
      </c>
    </row>
    <row r="108" spans="1:8">
      <c r="A108" t="s">
        <v>166</v>
      </c>
      <c r="B108" s="1">
        <v>45679</v>
      </c>
      <c r="C108" t="s">
        <v>21</v>
      </c>
      <c r="E108">
        <v>650</v>
      </c>
      <c r="F108">
        <v>6</v>
      </c>
      <c r="G108">
        <v>3900</v>
      </c>
      <c r="H108" t="s">
        <v>11</v>
      </c>
    </row>
    <row r="109" spans="1:8">
      <c r="A109" t="s">
        <v>167</v>
      </c>
      <c r="B109" s="1">
        <v>45845</v>
      </c>
      <c r="C109" t="s">
        <v>52</v>
      </c>
      <c r="D109" t="s">
        <v>53</v>
      </c>
      <c r="E109">
        <v>70</v>
      </c>
      <c r="F109">
        <v>1</v>
      </c>
      <c r="G109">
        <v>70</v>
      </c>
      <c r="H109" t="s">
        <v>28</v>
      </c>
    </row>
    <row r="110" spans="1:8">
      <c r="A110" t="s">
        <v>168</v>
      </c>
      <c r="B110" s="1">
        <v>45814</v>
      </c>
      <c r="C110" t="s">
        <v>13</v>
      </c>
      <c r="D110" t="s">
        <v>59</v>
      </c>
      <c r="E110">
        <v>350</v>
      </c>
      <c r="F110">
        <v>1</v>
      </c>
      <c r="G110">
        <v>350</v>
      </c>
      <c r="H110" t="s">
        <v>17</v>
      </c>
    </row>
    <row r="111" spans="1:8">
      <c r="A111" t="s">
        <v>169</v>
      </c>
      <c r="B111" s="1">
        <v>45672</v>
      </c>
      <c r="C111" t="s">
        <v>30</v>
      </c>
      <c r="D111" t="s">
        <v>38</v>
      </c>
      <c r="E111">
        <v>150</v>
      </c>
      <c r="G111">
        <v>750</v>
      </c>
      <c r="H111" t="s">
        <v>17</v>
      </c>
    </row>
    <row r="112" spans="1:8">
      <c r="A112" t="s">
        <v>170</v>
      </c>
      <c r="B112" s="1">
        <v>45792</v>
      </c>
      <c r="C112" t="s">
        <v>30</v>
      </c>
      <c r="D112" t="s">
        <v>78</v>
      </c>
      <c r="E112">
        <v>90</v>
      </c>
      <c r="F112">
        <v>4</v>
      </c>
      <c r="G112">
        <v>540</v>
      </c>
      <c r="H112" t="s">
        <v>11</v>
      </c>
    </row>
    <row r="113" spans="1:8">
      <c r="A113" t="s">
        <v>171</v>
      </c>
      <c r="B113" s="1">
        <v>45713</v>
      </c>
      <c r="C113" t="s">
        <v>35</v>
      </c>
      <c r="E113">
        <v>60</v>
      </c>
      <c r="F113">
        <v>6</v>
      </c>
      <c r="G113">
        <v>360</v>
      </c>
      <c r="H113" t="s">
        <v>17</v>
      </c>
    </row>
    <row r="114" spans="1:8">
      <c r="A114" t="s">
        <v>172</v>
      </c>
      <c r="B114" s="1">
        <v>45784</v>
      </c>
      <c r="C114" t="s">
        <v>16</v>
      </c>
      <c r="D114" t="s">
        <v>40</v>
      </c>
      <c r="E114">
        <v>1200</v>
      </c>
      <c r="F114">
        <v>5</v>
      </c>
      <c r="G114">
        <v>6000</v>
      </c>
      <c r="H114" t="s">
        <v>11</v>
      </c>
    </row>
    <row r="115" spans="1:8">
      <c r="A115" t="s">
        <v>173</v>
      </c>
      <c r="B115" s="1">
        <v>45842</v>
      </c>
      <c r="C115" t="s">
        <v>30</v>
      </c>
      <c r="D115" t="s">
        <v>38</v>
      </c>
      <c r="E115">
        <v>150</v>
      </c>
      <c r="F115">
        <v>6</v>
      </c>
      <c r="G115">
        <v>900</v>
      </c>
      <c r="H115" t="s">
        <v>28</v>
      </c>
    </row>
    <row r="116" spans="1:8">
      <c r="A116" t="s">
        <v>174</v>
      </c>
      <c r="B116" s="1">
        <v>45821</v>
      </c>
      <c r="C116" t="s">
        <v>9</v>
      </c>
      <c r="E116">
        <v>80</v>
      </c>
      <c r="F116">
        <v>6</v>
      </c>
      <c r="G116">
        <v>480</v>
      </c>
      <c r="H116" t="s">
        <v>17</v>
      </c>
    </row>
    <row r="117" spans="1:8">
      <c r="A117" t="s">
        <v>175</v>
      </c>
      <c r="B117" s="1">
        <v>45786</v>
      </c>
      <c r="C117" t="s">
        <v>35</v>
      </c>
      <c r="D117" t="s">
        <v>104</v>
      </c>
      <c r="E117">
        <v>20</v>
      </c>
      <c r="F117">
        <v>2</v>
      </c>
      <c r="G117">
        <v>40</v>
      </c>
      <c r="H117" t="s">
        <v>23</v>
      </c>
    </row>
    <row r="118" spans="1:8">
      <c r="A118" t="s">
        <v>176</v>
      </c>
      <c r="B118" s="1">
        <v>45810</v>
      </c>
      <c r="C118" t="s">
        <v>30</v>
      </c>
      <c r="D118" t="s">
        <v>31</v>
      </c>
      <c r="E118">
        <v>350</v>
      </c>
      <c r="F118">
        <v>6</v>
      </c>
      <c r="H118" t="s">
        <v>11</v>
      </c>
    </row>
    <row r="119" spans="1:8">
      <c r="A119" t="s">
        <v>177</v>
      </c>
      <c r="B119" s="1">
        <v>45817</v>
      </c>
      <c r="C119" t="s">
        <v>25</v>
      </c>
      <c r="D119" t="s">
        <v>98</v>
      </c>
      <c r="E119">
        <v>35</v>
      </c>
      <c r="F119">
        <v>3</v>
      </c>
      <c r="G119">
        <v>105</v>
      </c>
      <c r="H119" t="s">
        <v>28</v>
      </c>
    </row>
    <row r="120" spans="1:8">
      <c r="A120" t="s">
        <v>178</v>
      </c>
      <c r="B120" s="1">
        <v>45678</v>
      </c>
      <c r="C120" t="s">
        <v>25</v>
      </c>
      <c r="D120" t="s">
        <v>26</v>
      </c>
      <c r="E120">
        <v>90</v>
      </c>
      <c r="F120">
        <v>6</v>
      </c>
      <c r="G120">
        <v>540</v>
      </c>
      <c r="H120" t="s">
        <v>23</v>
      </c>
    </row>
    <row r="121" spans="1:8">
      <c r="A121" t="s">
        <v>179</v>
      </c>
      <c r="B121" s="1">
        <v>45772</v>
      </c>
      <c r="C121" t="s">
        <v>35</v>
      </c>
      <c r="D121" t="s">
        <v>36</v>
      </c>
      <c r="E121">
        <v>90</v>
      </c>
      <c r="F121">
        <v>4</v>
      </c>
      <c r="G121">
        <v>360</v>
      </c>
      <c r="H121" t="s">
        <v>23</v>
      </c>
    </row>
    <row r="122" spans="1:8">
      <c r="A122" t="s">
        <v>180</v>
      </c>
      <c r="B122" s="1">
        <v>45739</v>
      </c>
      <c r="C122" t="s">
        <v>30</v>
      </c>
      <c r="D122" t="s">
        <v>49</v>
      </c>
      <c r="E122">
        <v>400</v>
      </c>
      <c r="F122">
        <v>1</v>
      </c>
      <c r="G122">
        <v>400</v>
      </c>
      <c r="H122" t="s">
        <v>28</v>
      </c>
    </row>
    <row r="123" spans="1:8">
      <c r="A123" t="s">
        <v>181</v>
      </c>
      <c r="B123" s="1">
        <v>45809</v>
      </c>
      <c r="C123" t="s">
        <v>9</v>
      </c>
      <c r="E123">
        <v>60</v>
      </c>
      <c r="F123">
        <v>1</v>
      </c>
      <c r="G123">
        <v>60</v>
      </c>
      <c r="H123" t="s">
        <v>11</v>
      </c>
    </row>
    <row r="124" spans="1:8">
      <c r="A124" t="s">
        <v>182</v>
      </c>
      <c r="B124" s="1">
        <v>45834</v>
      </c>
      <c r="C124" t="s">
        <v>25</v>
      </c>
      <c r="D124" t="s">
        <v>42</v>
      </c>
      <c r="E124">
        <v>30</v>
      </c>
      <c r="G124">
        <v>30</v>
      </c>
      <c r="H124" t="s">
        <v>23</v>
      </c>
    </row>
    <row r="125" spans="1:8">
      <c r="A125" t="s">
        <v>183</v>
      </c>
      <c r="B125" s="1">
        <v>45712</v>
      </c>
      <c r="C125" t="s">
        <v>30</v>
      </c>
      <c r="D125" t="s">
        <v>78</v>
      </c>
      <c r="E125">
        <v>90</v>
      </c>
      <c r="F125">
        <v>6</v>
      </c>
      <c r="G125">
        <v>540</v>
      </c>
      <c r="H125" t="s">
        <v>28</v>
      </c>
    </row>
    <row r="126" spans="1:8">
      <c r="A126" t="s">
        <v>184</v>
      </c>
      <c r="B126" s="1">
        <v>45869</v>
      </c>
      <c r="C126" t="s">
        <v>13</v>
      </c>
      <c r="E126">
        <v>3200</v>
      </c>
      <c r="F126">
        <v>1</v>
      </c>
      <c r="G126">
        <v>3200</v>
      </c>
      <c r="H126" t="s">
        <v>17</v>
      </c>
    </row>
    <row r="127" spans="1:8">
      <c r="A127" t="s">
        <v>185</v>
      </c>
      <c r="B127" s="1">
        <v>45674</v>
      </c>
      <c r="C127" t="s">
        <v>186</v>
      </c>
      <c r="D127" t="s">
        <v>31</v>
      </c>
      <c r="E127">
        <v>350</v>
      </c>
      <c r="F127">
        <v>5</v>
      </c>
      <c r="G127">
        <v>1750</v>
      </c>
      <c r="H127" t="s">
        <v>28</v>
      </c>
    </row>
    <row r="128" spans="1:8">
      <c r="A128" t="s">
        <v>187</v>
      </c>
      <c r="B128" s="1">
        <v>45767</v>
      </c>
      <c r="C128" t="s">
        <v>21</v>
      </c>
      <c r="D128" t="s">
        <v>61</v>
      </c>
      <c r="E128">
        <v>650</v>
      </c>
      <c r="G128">
        <v>3250</v>
      </c>
      <c r="H128" t="s">
        <v>28</v>
      </c>
    </row>
    <row r="129" spans="1:8">
      <c r="A129" t="s">
        <v>188</v>
      </c>
      <c r="B129" s="1">
        <v>45782</v>
      </c>
      <c r="C129" t="s">
        <v>30</v>
      </c>
      <c r="E129">
        <v>90</v>
      </c>
      <c r="F129">
        <v>6</v>
      </c>
      <c r="G129">
        <v>540</v>
      </c>
      <c r="H129" t="s">
        <v>17</v>
      </c>
    </row>
    <row r="130" spans="1:8">
      <c r="A130" t="s">
        <v>189</v>
      </c>
      <c r="B130" s="1">
        <v>45846</v>
      </c>
      <c r="C130" t="s">
        <v>35</v>
      </c>
      <c r="D130" t="s">
        <v>104</v>
      </c>
      <c r="E130">
        <v>20</v>
      </c>
      <c r="F130">
        <v>4</v>
      </c>
      <c r="G130">
        <v>80</v>
      </c>
      <c r="H130" t="s">
        <v>23</v>
      </c>
    </row>
    <row r="131" spans="1:8">
      <c r="A131" t="s">
        <v>190</v>
      </c>
      <c r="B131" s="1">
        <v>45736</v>
      </c>
      <c r="C131" t="s">
        <v>52</v>
      </c>
      <c r="D131" t="s">
        <v>53</v>
      </c>
      <c r="E131">
        <v>70</v>
      </c>
      <c r="F131">
        <v>1</v>
      </c>
      <c r="G131">
        <v>105</v>
      </c>
      <c r="H131" t="s">
        <v>28</v>
      </c>
    </row>
    <row r="132" spans="1:8">
      <c r="A132" t="s">
        <v>191</v>
      </c>
      <c r="B132" s="1">
        <v>45779</v>
      </c>
      <c r="C132" t="s">
        <v>35</v>
      </c>
      <c r="D132" t="s">
        <v>87</v>
      </c>
      <c r="E132">
        <v>45</v>
      </c>
      <c r="F132">
        <v>5</v>
      </c>
      <c r="G132">
        <v>225</v>
      </c>
      <c r="H132" t="s">
        <v>23</v>
      </c>
    </row>
    <row r="133" spans="1:8">
      <c r="A133" t="s">
        <v>192</v>
      </c>
      <c r="B133" s="1">
        <v>45888</v>
      </c>
      <c r="C133" t="s">
        <v>30</v>
      </c>
      <c r="D133" t="s">
        <v>78</v>
      </c>
      <c r="E133">
        <v>90</v>
      </c>
      <c r="F133">
        <v>2</v>
      </c>
      <c r="G133">
        <v>180</v>
      </c>
      <c r="H133" t="s">
        <v>28</v>
      </c>
    </row>
    <row r="134" spans="1:8">
      <c r="A134" t="s">
        <v>193</v>
      </c>
      <c r="B134" s="1">
        <v>45762</v>
      </c>
      <c r="C134" t="s">
        <v>35</v>
      </c>
      <c r="D134" t="s">
        <v>100</v>
      </c>
      <c r="E134">
        <v>60</v>
      </c>
      <c r="G134">
        <v>300</v>
      </c>
      <c r="H134" t="s">
        <v>17</v>
      </c>
    </row>
    <row r="135" spans="1:8">
      <c r="A135" t="s">
        <v>194</v>
      </c>
      <c r="B135" s="1">
        <v>45716</v>
      </c>
      <c r="C135" t="s">
        <v>13</v>
      </c>
      <c r="D135" t="s">
        <v>33</v>
      </c>
      <c r="E135">
        <v>700</v>
      </c>
      <c r="F135">
        <v>5</v>
      </c>
      <c r="G135">
        <v>3500</v>
      </c>
      <c r="H135" t="s">
        <v>17</v>
      </c>
    </row>
    <row r="136" spans="1:8">
      <c r="A136" t="s">
        <v>195</v>
      </c>
      <c r="B136" s="1">
        <v>45870</v>
      </c>
      <c r="C136" t="s">
        <v>52</v>
      </c>
      <c r="D136" t="s">
        <v>196</v>
      </c>
      <c r="E136">
        <v>65</v>
      </c>
      <c r="F136">
        <v>1</v>
      </c>
      <c r="G136">
        <v>65</v>
      </c>
      <c r="H136" t="s">
        <v>11</v>
      </c>
    </row>
    <row r="137" spans="1:8">
      <c r="A137" t="s">
        <v>197</v>
      </c>
      <c r="B137" s="1">
        <v>45847</v>
      </c>
      <c r="C137" t="s">
        <v>198</v>
      </c>
      <c r="D137" t="s">
        <v>139</v>
      </c>
      <c r="E137">
        <v>180</v>
      </c>
      <c r="F137">
        <v>2</v>
      </c>
      <c r="G137">
        <v>360</v>
      </c>
      <c r="H137" t="s">
        <v>17</v>
      </c>
    </row>
    <row r="138" spans="1:8">
      <c r="A138" t="s">
        <v>199</v>
      </c>
      <c r="B138" s="1">
        <v>45855</v>
      </c>
      <c r="C138" t="s">
        <v>9</v>
      </c>
      <c r="D138" t="s">
        <v>19</v>
      </c>
      <c r="E138">
        <v>250</v>
      </c>
      <c r="F138">
        <v>6</v>
      </c>
      <c r="G138">
        <v>1500</v>
      </c>
      <c r="H138" t="s">
        <v>11</v>
      </c>
    </row>
    <row r="139" spans="1:8">
      <c r="A139" t="s">
        <v>200</v>
      </c>
      <c r="B139" s="1">
        <v>45838</v>
      </c>
      <c r="C139" t="s">
        <v>52</v>
      </c>
      <c r="D139" t="s">
        <v>201</v>
      </c>
      <c r="E139">
        <v>55</v>
      </c>
      <c r="F139">
        <v>6</v>
      </c>
      <c r="G139">
        <v>330</v>
      </c>
      <c r="H139" t="s">
        <v>17</v>
      </c>
    </row>
    <row r="140" spans="1:8">
      <c r="A140" t="s">
        <v>202</v>
      </c>
      <c r="B140" s="1">
        <v>45838</v>
      </c>
      <c r="C140" t="s">
        <v>21</v>
      </c>
      <c r="D140" t="s">
        <v>122</v>
      </c>
      <c r="E140">
        <v>190</v>
      </c>
      <c r="F140">
        <v>5</v>
      </c>
      <c r="G140">
        <v>950</v>
      </c>
      <c r="H140" t="s">
        <v>11</v>
      </c>
    </row>
    <row r="141" spans="1:8">
      <c r="A141" t="s">
        <v>203</v>
      </c>
      <c r="B141" s="1">
        <v>45814</v>
      </c>
      <c r="C141" t="s">
        <v>30</v>
      </c>
      <c r="D141" t="s">
        <v>78</v>
      </c>
      <c r="E141">
        <v>90</v>
      </c>
      <c r="F141">
        <v>2</v>
      </c>
      <c r="G141">
        <v>180</v>
      </c>
      <c r="H141" t="s">
        <v>23</v>
      </c>
    </row>
    <row r="142" spans="1:8">
      <c r="A142" t="s">
        <v>204</v>
      </c>
      <c r="B142" s="1">
        <v>45780</v>
      </c>
      <c r="C142" t="s">
        <v>25</v>
      </c>
      <c r="D142" t="s">
        <v>98</v>
      </c>
      <c r="E142">
        <v>35</v>
      </c>
      <c r="G142">
        <v>210</v>
      </c>
      <c r="H142" t="s">
        <v>11</v>
      </c>
    </row>
    <row r="143" spans="1:8">
      <c r="A143" t="s">
        <v>205</v>
      </c>
      <c r="B143" s="1">
        <v>45816</v>
      </c>
      <c r="C143" t="s">
        <v>25</v>
      </c>
      <c r="D143" t="s">
        <v>124</v>
      </c>
      <c r="E143">
        <v>40</v>
      </c>
      <c r="F143">
        <v>2</v>
      </c>
      <c r="G143">
        <v>80</v>
      </c>
      <c r="H143" t="s">
        <v>23</v>
      </c>
    </row>
    <row r="144" spans="1:8">
      <c r="A144" t="s">
        <v>206</v>
      </c>
      <c r="B144" s="1">
        <v>45679</v>
      </c>
      <c r="C144" t="s">
        <v>9</v>
      </c>
      <c r="D144" t="s">
        <v>10</v>
      </c>
      <c r="E144">
        <v>110</v>
      </c>
      <c r="F144">
        <v>6</v>
      </c>
      <c r="G144">
        <v>660</v>
      </c>
      <c r="H144" t="s">
        <v>23</v>
      </c>
    </row>
    <row r="145" spans="1:8">
      <c r="A145" t="s">
        <v>207</v>
      </c>
      <c r="B145" s="1">
        <v>45896</v>
      </c>
      <c r="C145" t="s">
        <v>16</v>
      </c>
      <c r="D145" t="s">
        <v>40</v>
      </c>
      <c r="F145">
        <v>3</v>
      </c>
      <c r="G145">
        <v>3600</v>
      </c>
      <c r="H145" t="s">
        <v>23</v>
      </c>
    </row>
    <row r="146" spans="1:8">
      <c r="A146" t="s">
        <v>208</v>
      </c>
      <c r="B146" s="1">
        <v>45858</v>
      </c>
      <c r="C146" t="s">
        <v>30</v>
      </c>
      <c r="D146" t="s">
        <v>31</v>
      </c>
      <c r="E146">
        <v>350</v>
      </c>
      <c r="F146">
        <v>6</v>
      </c>
      <c r="G146">
        <v>2100</v>
      </c>
      <c r="H146" t="s">
        <v>23</v>
      </c>
    </row>
    <row r="147" spans="1:8">
      <c r="A147" t="s">
        <v>209</v>
      </c>
      <c r="B147" s="1">
        <v>45880</v>
      </c>
      <c r="C147" t="s">
        <v>21</v>
      </c>
      <c r="D147" t="s">
        <v>122</v>
      </c>
      <c r="E147">
        <v>190</v>
      </c>
      <c r="F147">
        <v>4</v>
      </c>
      <c r="G147">
        <v>1140</v>
      </c>
      <c r="H147" t="s">
        <v>28</v>
      </c>
    </row>
    <row r="148" spans="1:8">
      <c r="A148" t="s">
        <v>210</v>
      </c>
      <c r="B148" s="1">
        <v>45801</v>
      </c>
      <c r="C148" t="s">
        <v>25</v>
      </c>
      <c r="D148" t="s">
        <v>124</v>
      </c>
      <c r="E148">
        <v>40</v>
      </c>
      <c r="F148">
        <v>6</v>
      </c>
      <c r="G148">
        <v>240</v>
      </c>
      <c r="H148" t="s">
        <v>23</v>
      </c>
    </row>
    <row r="149" spans="1:8">
      <c r="A149" t="s">
        <v>211</v>
      </c>
      <c r="B149" s="1">
        <v>45807</v>
      </c>
      <c r="C149" t="s">
        <v>25</v>
      </c>
      <c r="E149">
        <v>40</v>
      </c>
      <c r="F149">
        <v>2</v>
      </c>
      <c r="G149">
        <v>80</v>
      </c>
      <c r="H149" t="s">
        <v>23</v>
      </c>
    </row>
    <row r="150" spans="1:8">
      <c r="A150" t="s">
        <v>212</v>
      </c>
      <c r="B150" s="1">
        <v>45880</v>
      </c>
      <c r="C150" t="s">
        <v>52</v>
      </c>
      <c r="E150">
        <v>120</v>
      </c>
      <c r="F150">
        <v>4</v>
      </c>
      <c r="G150">
        <v>480</v>
      </c>
      <c r="H150" t="s">
        <v>11</v>
      </c>
    </row>
    <row r="151" spans="1:8">
      <c r="A151" t="s">
        <v>213</v>
      </c>
      <c r="B151" s="1">
        <v>45841</v>
      </c>
      <c r="C151" t="s">
        <v>52</v>
      </c>
      <c r="E151">
        <v>150</v>
      </c>
      <c r="F151">
        <v>1</v>
      </c>
      <c r="G151">
        <v>150</v>
      </c>
      <c r="H151" t="s">
        <v>28</v>
      </c>
    </row>
    <row r="152" spans="1:8">
      <c r="A152" t="s">
        <v>214</v>
      </c>
      <c r="B152" s="1">
        <v>45813</v>
      </c>
      <c r="C152" t="s">
        <v>21</v>
      </c>
      <c r="D152" t="s">
        <v>92</v>
      </c>
      <c r="E152">
        <v>75</v>
      </c>
      <c r="F152">
        <v>2</v>
      </c>
      <c r="G152">
        <v>150</v>
      </c>
      <c r="H152" t="s">
        <v>17</v>
      </c>
    </row>
    <row r="153" spans="1:8">
      <c r="A153" t="s">
        <v>215</v>
      </c>
      <c r="B153" s="1">
        <v>45800</v>
      </c>
      <c r="C153" t="s">
        <v>21</v>
      </c>
      <c r="D153" t="s">
        <v>92</v>
      </c>
      <c r="E153">
        <v>75</v>
      </c>
      <c r="F153">
        <v>2</v>
      </c>
      <c r="G153">
        <v>150</v>
      </c>
      <c r="H153" t="s">
        <v>17</v>
      </c>
    </row>
    <row r="154" spans="1:8">
      <c r="A154" t="s">
        <v>216</v>
      </c>
      <c r="B154" s="1">
        <v>45759</v>
      </c>
      <c r="C154" t="s">
        <v>21</v>
      </c>
      <c r="D154" t="s">
        <v>217</v>
      </c>
      <c r="E154">
        <v>380</v>
      </c>
      <c r="F154">
        <v>1</v>
      </c>
      <c r="G154">
        <v>380</v>
      </c>
      <c r="H154" t="s">
        <v>17</v>
      </c>
    </row>
    <row r="155" spans="1:8">
      <c r="A155" t="s">
        <v>218</v>
      </c>
      <c r="B155" s="1">
        <v>45844</v>
      </c>
      <c r="C155" t="s">
        <v>52</v>
      </c>
      <c r="D155" t="s">
        <v>94</v>
      </c>
      <c r="E155">
        <v>150</v>
      </c>
      <c r="F155">
        <v>6</v>
      </c>
      <c r="G155">
        <v>1350</v>
      </c>
      <c r="H155" t="s">
        <v>28</v>
      </c>
    </row>
    <row r="156" spans="1:8">
      <c r="A156" t="s">
        <v>219</v>
      </c>
      <c r="B156" s="1">
        <v>45812</v>
      </c>
      <c r="C156" t="s">
        <v>25</v>
      </c>
      <c r="D156" t="s">
        <v>114</v>
      </c>
      <c r="F156">
        <v>4</v>
      </c>
      <c r="G156">
        <v>220</v>
      </c>
      <c r="H156" t="s">
        <v>28</v>
      </c>
    </row>
    <row r="157" spans="1:8">
      <c r="A157" t="s">
        <v>220</v>
      </c>
      <c r="B157" s="1">
        <v>45889</v>
      </c>
      <c r="C157" t="s">
        <v>25</v>
      </c>
      <c r="D157" t="s">
        <v>42</v>
      </c>
      <c r="E157">
        <v>30</v>
      </c>
      <c r="F157">
        <v>4</v>
      </c>
      <c r="G157">
        <v>120</v>
      </c>
      <c r="H157" t="s">
        <v>11</v>
      </c>
    </row>
    <row r="158" spans="1:8">
      <c r="A158" t="s">
        <v>221</v>
      </c>
      <c r="B158" s="1">
        <v>45698</v>
      </c>
      <c r="C158" t="s">
        <v>30</v>
      </c>
      <c r="D158" t="s">
        <v>70</v>
      </c>
      <c r="E158">
        <v>900</v>
      </c>
      <c r="F158">
        <v>3</v>
      </c>
      <c r="G158">
        <v>2700</v>
      </c>
      <c r="H158" t="s">
        <v>28</v>
      </c>
    </row>
    <row r="159" spans="1:8">
      <c r="A159" t="s">
        <v>222</v>
      </c>
      <c r="B159" s="1">
        <v>45820</v>
      </c>
      <c r="C159" t="s">
        <v>25</v>
      </c>
      <c r="D159" t="s">
        <v>98</v>
      </c>
      <c r="F159">
        <v>2</v>
      </c>
      <c r="G159">
        <v>70</v>
      </c>
      <c r="H159" t="s">
        <v>23</v>
      </c>
    </row>
    <row r="160" spans="1:8">
      <c r="A160" t="s">
        <v>223</v>
      </c>
      <c r="B160" s="1">
        <v>45891</v>
      </c>
      <c r="C160" t="s">
        <v>25</v>
      </c>
      <c r="D160" t="s">
        <v>124</v>
      </c>
      <c r="E160">
        <v>40</v>
      </c>
      <c r="G160">
        <v>160</v>
      </c>
      <c r="H160" t="s">
        <v>11</v>
      </c>
    </row>
    <row r="161" spans="1:8">
      <c r="A161" t="s">
        <v>224</v>
      </c>
      <c r="B161" s="1">
        <v>45861</v>
      </c>
      <c r="C161" t="s">
        <v>30</v>
      </c>
      <c r="D161" t="s">
        <v>31</v>
      </c>
      <c r="E161">
        <v>350</v>
      </c>
      <c r="F161">
        <v>1</v>
      </c>
      <c r="G161">
        <v>350</v>
      </c>
      <c r="H161" t="s">
        <v>17</v>
      </c>
    </row>
    <row r="162" spans="1:8">
      <c r="A162" t="s">
        <v>225</v>
      </c>
      <c r="B162" s="1">
        <v>45701</v>
      </c>
      <c r="C162" t="s">
        <v>35</v>
      </c>
      <c r="D162" t="s">
        <v>100</v>
      </c>
      <c r="E162">
        <v>60</v>
      </c>
      <c r="F162">
        <v>6</v>
      </c>
      <c r="G162">
        <v>360</v>
      </c>
      <c r="H162" t="s">
        <v>17</v>
      </c>
    </row>
    <row r="163" spans="1:8">
      <c r="A163" t="s">
        <v>226</v>
      </c>
      <c r="B163" s="1">
        <v>45732</v>
      </c>
      <c r="C163" t="s">
        <v>52</v>
      </c>
      <c r="D163" t="s">
        <v>148</v>
      </c>
      <c r="E163">
        <v>55</v>
      </c>
      <c r="F163">
        <v>1</v>
      </c>
      <c r="G163">
        <v>55</v>
      </c>
      <c r="H163" t="s">
        <v>28</v>
      </c>
    </row>
    <row r="164" spans="1:8">
      <c r="A164" t="s">
        <v>227</v>
      </c>
      <c r="B164" s="1">
        <v>45876</v>
      </c>
      <c r="C164" t="s">
        <v>30</v>
      </c>
      <c r="E164">
        <v>90</v>
      </c>
      <c r="F164">
        <v>2</v>
      </c>
      <c r="G164">
        <v>180</v>
      </c>
      <c r="H164" t="s">
        <v>23</v>
      </c>
    </row>
    <row r="165" spans="1:8">
      <c r="A165" t="s">
        <v>228</v>
      </c>
      <c r="B165" s="1">
        <v>45802</v>
      </c>
      <c r="C165" t="s">
        <v>25</v>
      </c>
      <c r="D165" t="s">
        <v>42</v>
      </c>
      <c r="F165">
        <v>5</v>
      </c>
      <c r="G165">
        <v>150</v>
      </c>
      <c r="H165" t="s">
        <v>17</v>
      </c>
    </row>
    <row r="166" spans="1:8">
      <c r="A166" t="s">
        <v>229</v>
      </c>
      <c r="B166" s="1">
        <v>45793</v>
      </c>
      <c r="C166" t="s">
        <v>16</v>
      </c>
      <c r="D166" t="s">
        <v>40</v>
      </c>
      <c r="E166">
        <v>1200</v>
      </c>
      <c r="F166">
        <v>4</v>
      </c>
      <c r="G166">
        <v>4800</v>
      </c>
      <c r="H166" t="s">
        <v>11</v>
      </c>
    </row>
    <row r="167" spans="1:8">
      <c r="A167" t="s">
        <v>230</v>
      </c>
      <c r="B167" s="1">
        <v>45755</v>
      </c>
      <c r="C167" t="s">
        <v>25</v>
      </c>
      <c r="E167">
        <v>35</v>
      </c>
      <c r="F167">
        <v>5</v>
      </c>
      <c r="G167">
        <v>175</v>
      </c>
      <c r="H167" t="s">
        <v>23</v>
      </c>
    </row>
    <row r="168" spans="1:8">
      <c r="A168" t="s">
        <v>231</v>
      </c>
      <c r="B168" s="1">
        <v>45741</v>
      </c>
      <c r="C168" t="s">
        <v>52</v>
      </c>
      <c r="E168">
        <v>120</v>
      </c>
      <c r="F168">
        <v>2</v>
      </c>
      <c r="G168">
        <v>240</v>
      </c>
      <c r="H168" t="s">
        <v>28</v>
      </c>
    </row>
    <row r="169" spans="1:8">
      <c r="A169" t="s">
        <v>232</v>
      </c>
      <c r="B169" s="1">
        <v>45863</v>
      </c>
      <c r="C169" t="s">
        <v>13</v>
      </c>
      <c r="D169" t="s">
        <v>233</v>
      </c>
      <c r="E169">
        <v>350</v>
      </c>
      <c r="F169">
        <v>4</v>
      </c>
      <c r="G169">
        <v>1400</v>
      </c>
      <c r="H169" t="s">
        <v>23</v>
      </c>
    </row>
    <row r="170" spans="1:8">
      <c r="A170" t="s">
        <v>234</v>
      </c>
      <c r="B170" s="1">
        <v>45786</v>
      </c>
      <c r="C170" t="s">
        <v>52</v>
      </c>
      <c r="D170" t="s">
        <v>94</v>
      </c>
      <c r="E170">
        <v>150</v>
      </c>
      <c r="F170">
        <v>4</v>
      </c>
      <c r="G170">
        <v>600</v>
      </c>
      <c r="H170" t="s">
        <v>17</v>
      </c>
    </row>
    <row r="171" spans="1:8">
      <c r="A171" t="s">
        <v>235</v>
      </c>
      <c r="B171" s="1">
        <v>45855</v>
      </c>
      <c r="C171" t="s">
        <v>52</v>
      </c>
      <c r="D171" t="s">
        <v>148</v>
      </c>
      <c r="E171">
        <v>55</v>
      </c>
      <c r="F171">
        <v>5</v>
      </c>
      <c r="G171">
        <v>275</v>
      </c>
      <c r="H171" t="s">
        <v>17</v>
      </c>
    </row>
    <row r="172" spans="1:8">
      <c r="A172" t="s">
        <v>236</v>
      </c>
      <c r="B172" s="1">
        <v>45711</v>
      </c>
      <c r="C172" t="s">
        <v>21</v>
      </c>
      <c r="D172" t="s">
        <v>22</v>
      </c>
      <c r="E172">
        <v>220</v>
      </c>
      <c r="F172">
        <v>1</v>
      </c>
      <c r="G172">
        <v>220</v>
      </c>
      <c r="H172" t="s">
        <v>11</v>
      </c>
    </row>
    <row r="173" spans="1:8">
      <c r="A173" t="s">
        <v>237</v>
      </c>
      <c r="B173" s="1">
        <v>45851</v>
      </c>
      <c r="C173" t="s">
        <v>52</v>
      </c>
      <c r="D173" t="s">
        <v>67</v>
      </c>
      <c r="E173">
        <v>120</v>
      </c>
      <c r="F173">
        <v>2</v>
      </c>
      <c r="G173">
        <v>240</v>
      </c>
      <c r="H173" t="s">
        <v>17</v>
      </c>
    </row>
    <row r="174" spans="1:8">
      <c r="A174" t="s">
        <v>238</v>
      </c>
      <c r="B174" s="1">
        <v>45671</v>
      </c>
      <c r="C174" t="s">
        <v>35</v>
      </c>
      <c r="D174" t="s">
        <v>87</v>
      </c>
      <c r="E174">
        <v>45</v>
      </c>
      <c r="F174">
        <v>4</v>
      </c>
      <c r="G174">
        <v>180</v>
      </c>
      <c r="H174" t="s">
        <v>28</v>
      </c>
    </row>
    <row r="175" spans="1:8">
      <c r="A175" t="s">
        <v>239</v>
      </c>
      <c r="B175" s="1">
        <v>45870</v>
      </c>
      <c r="C175" t="s">
        <v>13</v>
      </c>
      <c r="E175">
        <v>350</v>
      </c>
      <c r="F175">
        <v>4</v>
      </c>
      <c r="G175">
        <v>1400</v>
      </c>
      <c r="H175" t="s">
        <v>23</v>
      </c>
    </row>
    <row r="176" spans="1:8">
      <c r="A176" t="s">
        <v>240</v>
      </c>
      <c r="B176" s="1">
        <v>45684</v>
      </c>
      <c r="C176" t="s">
        <v>52</v>
      </c>
      <c r="D176" t="s">
        <v>94</v>
      </c>
      <c r="E176">
        <v>150</v>
      </c>
      <c r="F176">
        <v>6</v>
      </c>
      <c r="G176">
        <v>900</v>
      </c>
      <c r="H176" t="s">
        <v>17</v>
      </c>
    </row>
    <row r="177" spans="1:8">
      <c r="A177" t="s">
        <v>241</v>
      </c>
      <c r="B177" s="1">
        <v>45744</v>
      </c>
      <c r="C177" t="s">
        <v>25</v>
      </c>
      <c r="D177" t="s">
        <v>114</v>
      </c>
      <c r="E177">
        <v>55</v>
      </c>
      <c r="F177">
        <v>5</v>
      </c>
      <c r="G177">
        <v>275</v>
      </c>
      <c r="H177" t="s">
        <v>28</v>
      </c>
    </row>
    <row r="178" spans="1:8">
      <c r="A178" t="s">
        <v>242</v>
      </c>
      <c r="B178" s="1">
        <v>45704</v>
      </c>
      <c r="C178" t="s">
        <v>30</v>
      </c>
      <c r="D178" t="s">
        <v>78</v>
      </c>
      <c r="E178">
        <v>90</v>
      </c>
      <c r="F178">
        <v>3</v>
      </c>
      <c r="G178">
        <v>270</v>
      </c>
      <c r="H178" t="s">
        <v>28</v>
      </c>
    </row>
    <row r="179" spans="1:8">
      <c r="A179" t="s">
        <v>243</v>
      </c>
      <c r="B179" s="1">
        <v>45840</v>
      </c>
      <c r="C179" t="s">
        <v>52</v>
      </c>
      <c r="E179">
        <v>55</v>
      </c>
      <c r="F179">
        <v>4</v>
      </c>
      <c r="G179">
        <v>220</v>
      </c>
      <c r="H179" t="s">
        <v>28</v>
      </c>
    </row>
    <row r="180" spans="1:8">
      <c r="A180" t="s">
        <v>244</v>
      </c>
      <c r="B180" s="1">
        <v>45666</v>
      </c>
      <c r="C180" t="s">
        <v>198</v>
      </c>
      <c r="D180" t="s">
        <v>36</v>
      </c>
      <c r="E180">
        <v>90</v>
      </c>
      <c r="F180">
        <v>4</v>
      </c>
      <c r="G180">
        <v>360</v>
      </c>
      <c r="H180" t="s">
        <v>23</v>
      </c>
    </row>
    <row r="181" spans="1:8">
      <c r="A181" t="s">
        <v>245</v>
      </c>
      <c r="B181" s="1">
        <v>45727</v>
      </c>
      <c r="C181" t="s">
        <v>16</v>
      </c>
      <c r="D181" t="s">
        <v>102</v>
      </c>
      <c r="E181">
        <v>300</v>
      </c>
      <c r="F181">
        <v>6</v>
      </c>
      <c r="G181">
        <v>1800</v>
      </c>
      <c r="H181" t="s">
        <v>28</v>
      </c>
    </row>
    <row r="182" spans="1:8">
      <c r="A182" t="s">
        <v>246</v>
      </c>
      <c r="B182" s="1">
        <v>45795</v>
      </c>
      <c r="C182" t="s">
        <v>16</v>
      </c>
      <c r="D182" t="s">
        <v>47</v>
      </c>
      <c r="E182">
        <v>800</v>
      </c>
      <c r="F182">
        <v>5</v>
      </c>
      <c r="G182">
        <v>4000</v>
      </c>
      <c r="H182" t="s">
        <v>17</v>
      </c>
    </row>
    <row r="183" spans="1:8">
      <c r="A183" t="s">
        <v>247</v>
      </c>
      <c r="B183" s="1">
        <v>45694</v>
      </c>
      <c r="C183" t="s">
        <v>30</v>
      </c>
      <c r="D183" t="s">
        <v>70</v>
      </c>
      <c r="E183">
        <v>900</v>
      </c>
      <c r="F183">
        <v>1</v>
      </c>
      <c r="G183">
        <v>900</v>
      </c>
      <c r="H183" t="s">
        <v>11</v>
      </c>
    </row>
    <row r="184" spans="1:8">
      <c r="A184" t="s">
        <v>248</v>
      </c>
      <c r="B184" s="1">
        <v>45780</v>
      </c>
      <c r="C184" t="s">
        <v>13</v>
      </c>
      <c r="D184" t="s">
        <v>72</v>
      </c>
      <c r="E184">
        <v>3200</v>
      </c>
      <c r="F184">
        <v>4</v>
      </c>
      <c r="G184">
        <v>12800</v>
      </c>
      <c r="H184" t="s">
        <v>17</v>
      </c>
    </row>
    <row r="185" spans="1:8">
      <c r="A185" t="s">
        <v>249</v>
      </c>
      <c r="B185" s="1">
        <v>45822</v>
      </c>
      <c r="C185" t="s">
        <v>16</v>
      </c>
      <c r="D185" t="s">
        <v>47</v>
      </c>
      <c r="E185">
        <v>800</v>
      </c>
      <c r="F185">
        <v>6</v>
      </c>
      <c r="G185">
        <v>4800</v>
      </c>
      <c r="H185" t="s">
        <v>28</v>
      </c>
    </row>
    <row r="186" spans="1:8">
      <c r="A186" t="s">
        <v>250</v>
      </c>
      <c r="B186" s="1">
        <v>45732</v>
      </c>
      <c r="C186" t="s">
        <v>35</v>
      </c>
      <c r="D186" t="s">
        <v>139</v>
      </c>
      <c r="E186">
        <v>180</v>
      </c>
      <c r="F186">
        <v>5</v>
      </c>
      <c r="G186">
        <v>900</v>
      </c>
      <c r="H186" t="s">
        <v>11</v>
      </c>
    </row>
    <row r="187" spans="1:8">
      <c r="A187" t="s">
        <v>251</v>
      </c>
      <c r="B187" s="1">
        <v>45753</v>
      </c>
      <c r="C187" t="s">
        <v>16</v>
      </c>
      <c r="D187" t="s">
        <v>158</v>
      </c>
      <c r="E187">
        <v>450</v>
      </c>
      <c r="F187">
        <v>4</v>
      </c>
      <c r="G187">
        <v>1800</v>
      </c>
      <c r="H187" t="s">
        <v>17</v>
      </c>
    </row>
    <row r="188" spans="1:8">
      <c r="A188" t="s">
        <v>252</v>
      </c>
      <c r="B188" s="1">
        <v>45883</v>
      </c>
      <c r="C188" t="s">
        <v>52</v>
      </c>
      <c r="D188" t="s">
        <v>53</v>
      </c>
      <c r="E188">
        <v>70</v>
      </c>
      <c r="G188">
        <v>210</v>
      </c>
      <c r="H188" t="s">
        <v>28</v>
      </c>
    </row>
    <row r="189" spans="1:8">
      <c r="A189" t="s">
        <v>253</v>
      </c>
      <c r="B189" s="1">
        <v>45847</v>
      </c>
      <c r="C189" t="s">
        <v>25</v>
      </c>
      <c r="D189" t="s">
        <v>98</v>
      </c>
      <c r="E189">
        <v>35</v>
      </c>
      <c r="F189">
        <v>2</v>
      </c>
      <c r="G189">
        <v>70</v>
      </c>
      <c r="H189" t="s">
        <v>28</v>
      </c>
    </row>
    <row r="190" spans="1:8">
      <c r="A190" t="s">
        <v>254</v>
      </c>
      <c r="B190" s="1">
        <v>45798</v>
      </c>
      <c r="C190" t="s">
        <v>25</v>
      </c>
      <c r="D190" t="s">
        <v>124</v>
      </c>
      <c r="E190">
        <v>40</v>
      </c>
      <c r="G190">
        <v>160</v>
      </c>
      <c r="H190" t="s">
        <v>23</v>
      </c>
    </row>
    <row r="191" spans="1:8">
      <c r="A191" t="s">
        <v>255</v>
      </c>
      <c r="B191" s="1">
        <v>45690</v>
      </c>
      <c r="C191" t="s">
        <v>21</v>
      </c>
      <c r="E191">
        <v>650</v>
      </c>
      <c r="F191">
        <v>2</v>
      </c>
      <c r="G191">
        <v>1300</v>
      </c>
      <c r="H191" t="s">
        <v>11</v>
      </c>
    </row>
    <row r="192" spans="1:8">
      <c r="A192" t="s">
        <v>256</v>
      </c>
      <c r="B192" s="1">
        <v>45892</v>
      </c>
      <c r="C192" t="s">
        <v>16</v>
      </c>
      <c r="D192" t="s">
        <v>257</v>
      </c>
      <c r="E192">
        <v>500</v>
      </c>
      <c r="F192">
        <v>3</v>
      </c>
      <c r="G192">
        <v>2250</v>
      </c>
      <c r="H192" t="s">
        <v>11</v>
      </c>
    </row>
    <row r="193" spans="1:8">
      <c r="A193" t="s">
        <v>258</v>
      </c>
      <c r="B193" s="1">
        <v>45821</v>
      </c>
      <c r="C193" t="s">
        <v>16</v>
      </c>
      <c r="D193" t="s">
        <v>47</v>
      </c>
      <c r="E193">
        <v>800</v>
      </c>
      <c r="F193">
        <v>5</v>
      </c>
      <c r="G193">
        <v>4000</v>
      </c>
      <c r="H193" t="s">
        <v>23</v>
      </c>
    </row>
    <row r="194" spans="1:8">
      <c r="A194" t="s">
        <v>259</v>
      </c>
      <c r="B194" s="1">
        <v>45720</v>
      </c>
      <c r="C194" t="s">
        <v>30</v>
      </c>
      <c r="D194" t="s">
        <v>70</v>
      </c>
      <c r="E194">
        <v>900</v>
      </c>
      <c r="F194">
        <v>5</v>
      </c>
      <c r="H194" t="s">
        <v>11</v>
      </c>
    </row>
    <row r="195" spans="1:8">
      <c r="A195" t="s">
        <v>260</v>
      </c>
      <c r="B195" s="1">
        <v>45760</v>
      </c>
      <c r="C195" t="s">
        <v>30</v>
      </c>
      <c r="D195" t="s">
        <v>31</v>
      </c>
      <c r="E195">
        <v>350</v>
      </c>
      <c r="G195">
        <v>1750</v>
      </c>
      <c r="H195" t="s">
        <v>23</v>
      </c>
    </row>
    <row r="196" spans="1:8">
      <c r="A196" t="s">
        <v>261</v>
      </c>
      <c r="B196" s="1">
        <v>45874</v>
      </c>
      <c r="C196" t="s">
        <v>16</v>
      </c>
      <c r="D196" t="s">
        <v>257</v>
      </c>
      <c r="E196">
        <v>500</v>
      </c>
      <c r="F196">
        <v>2</v>
      </c>
      <c r="G196">
        <v>1500</v>
      </c>
      <c r="H196" t="s">
        <v>17</v>
      </c>
    </row>
    <row r="197" spans="1:8">
      <c r="A197" t="s">
        <v>262</v>
      </c>
      <c r="B197" s="1">
        <v>45741</v>
      </c>
      <c r="C197" t="s">
        <v>30</v>
      </c>
      <c r="D197" t="s">
        <v>38</v>
      </c>
      <c r="E197">
        <v>150</v>
      </c>
      <c r="F197">
        <v>1</v>
      </c>
      <c r="G197">
        <v>150</v>
      </c>
      <c r="H197" t="s">
        <v>11</v>
      </c>
    </row>
    <row r="198" spans="1:8">
      <c r="A198" t="s">
        <v>263</v>
      </c>
      <c r="B198" s="1">
        <v>45681</v>
      </c>
      <c r="C198" t="s">
        <v>25</v>
      </c>
      <c r="D198" t="s">
        <v>98</v>
      </c>
      <c r="E198">
        <v>35</v>
      </c>
      <c r="F198">
        <v>1</v>
      </c>
      <c r="G198">
        <v>35</v>
      </c>
      <c r="H198" t="s">
        <v>28</v>
      </c>
    </row>
    <row r="199" spans="1:8">
      <c r="A199" t="s">
        <v>264</v>
      </c>
      <c r="B199" s="1">
        <v>45780</v>
      </c>
      <c r="C199" t="s">
        <v>16</v>
      </c>
      <c r="D199" t="s">
        <v>47</v>
      </c>
      <c r="E199">
        <v>800</v>
      </c>
      <c r="F199">
        <v>3</v>
      </c>
      <c r="G199">
        <v>2400</v>
      </c>
      <c r="H199" t="s">
        <v>23</v>
      </c>
    </row>
    <row r="200" spans="1:8">
      <c r="A200" t="s">
        <v>265</v>
      </c>
      <c r="B200" s="1">
        <v>45868</v>
      </c>
      <c r="C200" t="s">
        <v>35</v>
      </c>
      <c r="D200" t="s">
        <v>139</v>
      </c>
      <c r="E200">
        <v>180</v>
      </c>
      <c r="F200">
        <v>2</v>
      </c>
      <c r="G200">
        <v>360</v>
      </c>
      <c r="H200" t="s">
        <v>17</v>
      </c>
    </row>
    <row r="201" spans="1:8">
      <c r="A201" t="s">
        <v>266</v>
      </c>
      <c r="B201" s="1">
        <v>45695</v>
      </c>
      <c r="C201" t="s">
        <v>9</v>
      </c>
      <c r="E201">
        <v>350</v>
      </c>
      <c r="F201">
        <v>2</v>
      </c>
      <c r="G201">
        <v>700</v>
      </c>
      <c r="H201" t="s">
        <v>17</v>
      </c>
    </row>
    <row r="202" spans="1:8">
      <c r="A202" t="s">
        <v>267</v>
      </c>
      <c r="B202" s="1">
        <v>45882</v>
      </c>
      <c r="C202" t="s">
        <v>52</v>
      </c>
      <c r="D202" t="s">
        <v>94</v>
      </c>
      <c r="E202">
        <v>150</v>
      </c>
      <c r="F202">
        <v>5</v>
      </c>
      <c r="G202">
        <v>750</v>
      </c>
      <c r="H202" t="s">
        <v>23</v>
      </c>
    </row>
    <row r="203" spans="1:8">
      <c r="A203" t="s">
        <v>268</v>
      </c>
      <c r="B203" s="1">
        <v>45775</v>
      </c>
      <c r="C203" t="s">
        <v>9</v>
      </c>
      <c r="D203" t="s">
        <v>82</v>
      </c>
      <c r="F203">
        <v>2</v>
      </c>
      <c r="G203">
        <v>700</v>
      </c>
      <c r="H203" t="s">
        <v>23</v>
      </c>
    </row>
    <row r="204" spans="1:8">
      <c r="A204" t="s">
        <v>269</v>
      </c>
      <c r="B204" s="1">
        <v>45880</v>
      </c>
      <c r="C204" t="s">
        <v>52</v>
      </c>
      <c r="D204" t="s">
        <v>53</v>
      </c>
      <c r="E204">
        <v>70</v>
      </c>
      <c r="F204">
        <v>5</v>
      </c>
      <c r="G204">
        <v>350</v>
      </c>
      <c r="H204" t="s">
        <v>28</v>
      </c>
    </row>
    <row r="205" spans="1:8">
      <c r="A205" t="s">
        <v>270</v>
      </c>
      <c r="B205" s="1">
        <v>45689</v>
      </c>
      <c r="C205" t="s">
        <v>16</v>
      </c>
      <c r="D205" t="s">
        <v>47</v>
      </c>
      <c r="E205">
        <v>800</v>
      </c>
      <c r="F205">
        <v>2</v>
      </c>
      <c r="G205">
        <v>1600</v>
      </c>
      <c r="H205" t="s">
        <v>11</v>
      </c>
    </row>
    <row r="206" spans="1:8">
      <c r="A206" t="s">
        <v>271</v>
      </c>
      <c r="B206" s="1">
        <v>45693</v>
      </c>
      <c r="C206" t="s">
        <v>35</v>
      </c>
      <c r="D206" t="s">
        <v>104</v>
      </c>
      <c r="E206">
        <v>20</v>
      </c>
      <c r="F206">
        <v>1</v>
      </c>
      <c r="G206">
        <v>20</v>
      </c>
      <c r="H206" t="s">
        <v>23</v>
      </c>
    </row>
    <row r="207" spans="1:8">
      <c r="A207" t="s">
        <v>272</v>
      </c>
      <c r="B207" s="1">
        <v>45808</v>
      </c>
      <c r="C207" t="s">
        <v>16</v>
      </c>
      <c r="D207" t="s">
        <v>40</v>
      </c>
      <c r="E207">
        <v>1200</v>
      </c>
      <c r="F207">
        <v>4</v>
      </c>
      <c r="G207">
        <v>4800</v>
      </c>
      <c r="H207" t="s">
        <v>11</v>
      </c>
    </row>
    <row r="208" spans="1:8">
      <c r="A208" t="s">
        <v>273</v>
      </c>
      <c r="B208" s="1">
        <v>45687</v>
      </c>
      <c r="C208" t="s">
        <v>25</v>
      </c>
      <c r="D208" t="s">
        <v>124</v>
      </c>
      <c r="E208">
        <v>40</v>
      </c>
      <c r="F208">
        <v>3</v>
      </c>
      <c r="G208">
        <v>180</v>
      </c>
      <c r="H208" t="s">
        <v>11</v>
      </c>
    </row>
    <row r="209" spans="1:8">
      <c r="A209" t="s">
        <v>274</v>
      </c>
      <c r="B209" s="1">
        <v>45746</v>
      </c>
      <c r="C209" t="s">
        <v>21</v>
      </c>
      <c r="D209" t="s">
        <v>22</v>
      </c>
      <c r="E209">
        <v>220</v>
      </c>
      <c r="F209">
        <v>6</v>
      </c>
      <c r="G209">
        <v>1320</v>
      </c>
      <c r="H209" t="s">
        <v>17</v>
      </c>
    </row>
    <row r="210" spans="1:8">
      <c r="A210" t="s">
        <v>275</v>
      </c>
      <c r="B210" s="1">
        <v>45777</v>
      </c>
      <c r="C210" t="s">
        <v>16</v>
      </c>
      <c r="D210" t="s">
        <v>158</v>
      </c>
      <c r="E210">
        <v>450</v>
      </c>
      <c r="F210">
        <v>4</v>
      </c>
      <c r="G210">
        <v>1800</v>
      </c>
      <c r="H210" t="s">
        <v>17</v>
      </c>
    </row>
    <row r="211" spans="1:8">
      <c r="A211" t="s">
        <v>276</v>
      </c>
      <c r="B211" s="1">
        <v>45768</v>
      </c>
      <c r="C211" t="s">
        <v>35</v>
      </c>
      <c r="D211" t="s">
        <v>100</v>
      </c>
      <c r="E211">
        <v>60</v>
      </c>
      <c r="F211">
        <v>1</v>
      </c>
      <c r="G211">
        <v>60</v>
      </c>
      <c r="H211" t="s">
        <v>11</v>
      </c>
    </row>
    <row r="212" spans="1:8">
      <c r="A212" t="s">
        <v>277</v>
      </c>
      <c r="B212" s="1">
        <v>45738</v>
      </c>
      <c r="C212" t="s">
        <v>13</v>
      </c>
      <c r="D212" t="s">
        <v>72</v>
      </c>
      <c r="E212">
        <v>3200</v>
      </c>
      <c r="F212">
        <v>6</v>
      </c>
      <c r="G212">
        <v>19200</v>
      </c>
      <c r="H212" t="s">
        <v>11</v>
      </c>
    </row>
    <row r="213" spans="1:8">
      <c r="A213" t="s">
        <v>278</v>
      </c>
      <c r="B213" s="1">
        <v>45687</v>
      </c>
      <c r="C213" t="s">
        <v>52</v>
      </c>
      <c r="D213" t="s">
        <v>94</v>
      </c>
      <c r="E213">
        <v>150</v>
      </c>
      <c r="F213">
        <v>3</v>
      </c>
      <c r="G213">
        <v>450</v>
      </c>
      <c r="H213" t="s">
        <v>17</v>
      </c>
    </row>
    <row r="214" spans="1:8">
      <c r="A214" t="s">
        <v>279</v>
      </c>
      <c r="B214" s="1">
        <v>45670</v>
      </c>
      <c r="C214" t="s">
        <v>30</v>
      </c>
      <c r="D214" t="s">
        <v>70</v>
      </c>
      <c r="E214">
        <v>900</v>
      </c>
      <c r="F214">
        <v>2</v>
      </c>
      <c r="G214">
        <v>2700</v>
      </c>
      <c r="H214" t="s">
        <v>23</v>
      </c>
    </row>
    <row r="215" spans="1:8">
      <c r="A215" t="s">
        <v>280</v>
      </c>
      <c r="B215" s="1">
        <v>45697</v>
      </c>
      <c r="C215" t="s">
        <v>52</v>
      </c>
      <c r="D215" t="s">
        <v>53</v>
      </c>
      <c r="E215">
        <v>70</v>
      </c>
      <c r="F215">
        <v>3</v>
      </c>
      <c r="G215">
        <v>210</v>
      </c>
      <c r="H215" t="s">
        <v>28</v>
      </c>
    </row>
    <row r="216" spans="1:8">
      <c r="A216" t="s">
        <v>281</v>
      </c>
      <c r="B216" s="1">
        <v>45714</v>
      </c>
      <c r="C216" t="s">
        <v>52</v>
      </c>
      <c r="D216" t="s">
        <v>148</v>
      </c>
      <c r="E216">
        <v>55</v>
      </c>
      <c r="F216">
        <v>4</v>
      </c>
      <c r="G216">
        <v>220</v>
      </c>
      <c r="H216" t="s">
        <v>11</v>
      </c>
    </row>
    <row r="217" spans="1:8">
      <c r="A217" t="s">
        <v>129</v>
      </c>
      <c r="B217" s="1">
        <v>45822</v>
      </c>
      <c r="C217" t="s">
        <v>35</v>
      </c>
      <c r="D217" t="s">
        <v>87</v>
      </c>
      <c r="F217">
        <v>1</v>
      </c>
      <c r="G217">
        <v>45</v>
      </c>
      <c r="H217" t="s">
        <v>28</v>
      </c>
    </row>
    <row r="218" spans="1:8">
      <c r="A218" t="s">
        <v>282</v>
      </c>
      <c r="B218" s="1">
        <v>45863</v>
      </c>
      <c r="C218" t="s">
        <v>21</v>
      </c>
      <c r="D218" t="s">
        <v>61</v>
      </c>
      <c r="E218">
        <v>650</v>
      </c>
      <c r="G218">
        <v>2600</v>
      </c>
      <c r="H218" t="s">
        <v>11</v>
      </c>
    </row>
    <row r="219" spans="1:8">
      <c r="A219" t="s">
        <v>283</v>
      </c>
      <c r="B219" s="1">
        <v>45731</v>
      </c>
      <c r="C219" t="s">
        <v>52</v>
      </c>
      <c r="D219" t="s">
        <v>94</v>
      </c>
      <c r="E219">
        <v>150</v>
      </c>
      <c r="F219">
        <v>1</v>
      </c>
      <c r="G219">
        <v>150</v>
      </c>
      <c r="H219" t="s">
        <v>28</v>
      </c>
    </row>
    <row r="220" spans="1:8">
      <c r="A220" t="s">
        <v>284</v>
      </c>
      <c r="B220" s="1">
        <v>45670</v>
      </c>
      <c r="C220" t="s">
        <v>16</v>
      </c>
      <c r="D220" t="s">
        <v>102</v>
      </c>
      <c r="E220">
        <v>300</v>
      </c>
      <c r="F220">
        <v>4</v>
      </c>
      <c r="G220">
        <v>1200</v>
      </c>
      <c r="H220" t="s">
        <v>11</v>
      </c>
    </row>
    <row r="221" spans="1:8">
      <c r="A221" t="s">
        <v>285</v>
      </c>
      <c r="B221" s="1">
        <v>45713</v>
      </c>
      <c r="C221" t="s">
        <v>9</v>
      </c>
      <c r="D221" t="s">
        <v>82</v>
      </c>
      <c r="F221">
        <v>5</v>
      </c>
      <c r="G221">
        <v>1750</v>
      </c>
      <c r="H221" t="s">
        <v>17</v>
      </c>
    </row>
    <row r="222" spans="1:8">
      <c r="A222" t="s">
        <v>286</v>
      </c>
      <c r="B222" s="1">
        <v>45674</v>
      </c>
      <c r="C222" t="s">
        <v>9</v>
      </c>
      <c r="D222" t="s">
        <v>82</v>
      </c>
      <c r="E222">
        <v>350</v>
      </c>
      <c r="F222">
        <v>6</v>
      </c>
      <c r="G222">
        <v>2100</v>
      </c>
      <c r="H222" t="s">
        <v>28</v>
      </c>
    </row>
    <row r="223" spans="1:8">
      <c r="A223" t="s">
        <v>287</v>
      </c>
      <c r="B223" s="1">
        <v>45668</v>
      </c>
      <c r="C223" t="s">
        <v>25</v>
      </c>
      <c r="D223" t="s">
        <v>42</v>
      </c>
      <c r="E223">
        <v>30</v>
      </c>
      <c r="F223">
        <v>5</v>
      </c>
      <c r="G223">
        <v>150</v>
      </c>
      <c r="H223" t="s">
        <v>11</v>
      </c>
    </row>
    <row r="224" spans="1:8">
      <c r="A224" t="s">
        <v>288</v>
      </c>
      <c r="B224" s="1">
        <v>45776</v>
      </c>
      <c r="C224" t="s">
        <v>35</v>
      </c>
      <c r="E224">
        <v>90</v>
      </c>
      <c r="F224">
        <v>3</v>
      </c>
      <c r="G224">
        <v>270</v>
      </c>
      <c r="H224" t="s">
        <v>28</v>
      </c>
    </row>
    <row r="225" spans="1:8">
      <c r="A225" t="s">
        <v>289</v>
      </c>
      <c r="B225" s="1">
        <v>45856</v>
      </c>
      <c r="C225" t="s">
        <v>290</v>
      </c>
      <c r="D225" t="s">
        <v>14</v>
      </c>
      <c r="E225">
        <v>2500</v>
      </c>
      <c r="F225">
        <v>3</v>
      </c>
      <c r="G225">
        <v>7500</v>
      </c>
      <c r="H225" t="s">
        <v>23</v>
      </c>
    </row>
    <row r="226" spans="1:8">
      <c r="A226" t="s">
        <v>291</v>
      </c>
      <c r="B226" s="1">
        <v>45796</v>
      </c>
      <c r="C226" t="s">
        <v>16</v>
      </c>
      <c r="D226" t="s">
        <v>47</v>
      </c>
      <c r="E226">
        <v>800</v>
      </c>
      <c r="F226">
        <v>2</v>
      </c>
      <c r="G226">
        <v>1600</v>
      </c>
      <c r="H226" t="s">
        <v>11</v>
      </c>
    </row>
    <row r="227" spans="1:8">
      <c r="A227" t="s">
        <v>292</v>
      </c>
      <c r="B227" s="1">
        <v>45774</v>
      </c>
      <c r="C227" t="s">
        <v>16</v>
      </c>
      <c r="D227" t="s">
        <v>158</v>
      </c>
      <c r="E227">
        <v>450</v>
      </c>
      <c r="F227">
        <v>4</v>
      </c>
      <c r="G227">
        <v>1800</v>
      </c>
      <c r="H227" t="s">
        <v>17</v>
      </c>
    </row>
    <row r="228" spans="1:8">
      <c r="A228" t="s">
        <v>293</v>
      </c>
      <c r="B228" s="1">
        <v>45693</v>
      </c>
      <c r="C228" t="s">
        <v>21</v>
      </c>
      <c r="D228" t="s">
        <v>44</v>
      </c>
      <c r="F228">
        <v>2</v>
      </c>
      <c r="G228">
        <v>760</v>
      </c>
      <c r="H228" t="s">
        <v>28</v>
      </c>
    </row>
    <row r="229" spans="1:8">
      <c r="A229" t="s">
        <v>294</v>
      </c>
      <c r="B229" s="1">
        <v>45834</v>
      </c>
      <c r="C229" t="s">
        <v>16</v>
      </c>
      <c r="D229" t="s">
        <v>40</v>
      </c>
      <c r="E229">
        <v>1200</v>
      </c>
      <c r="F229">
        <v>6</v>
      </c>
      <c r="G229">
        <v>7200</v>
      </c>
      <c r="H229" t="s">
        <v>11</v>
      </c>
    </row>
    <row r="230" spans="1:8">
      <c r="A230" t="s">
        <v>295</v>
      </c>
      <c r="B230" s="1">
        <v>45825</v>
      </c>
      <c r="C230" t="s">
        <v>13</v>
      </c>
      <c r="D230" t="s">
        <v>33</v>
      </c>
      <c r="E230">
        <v>700</v>
      </c>
      <c r="F230">
        <v>5</v>
      </c>
      <c r="G230">
        <v>3500</v>
      </c>
      <c r="H230" t="s">
        <v>23</v>
      </c>
    </row>
    <row r="231" spans="1:8">
      <c r="A231" t="s">
        <v>296</v>
      </c>
      <c r="B231" s="1">
        <v>45888</v>
      </c>
      <c r="C231" t="s">
        <v>52</v>
      </c>
      <c r="D231" t="s">
        <v>196</v>
      </c>
      <c r="E231">
        <v>65</v>
      </c>
      <c r="F231">
        <v>6</v>
      </c>
      <c r="G231">
        <v>390</v>
      </c>
      <c r="H231" t="s">
        <v>23</v>
      </c>
    </row>
    <row r="232" spans="1:8">
      <c r="A232" t="s">
        <v>297</v>
      </c>
      <c r="B232" s="1">
        <v>45830</v>
      </c>
      <c r="C232" t="s">
        <v>35</v>
      </c>
      <c r="D232" t="s">
        <v>36</v>
      </c>
      <c r="F232">
        <v>4</v>
      </c>
      <c r="G232">
        <v>360</v>
      </c>
      <c r="H232" t="s">
        <v>28</v>
      </c>
    </row>
    <row r="233" spans="1:8">
      <c r="A233" t="s">
        <v>298</v>
      </c>
      <c r="B233" s="1">
        <v>45795</v>
      </c>
      <c r="C233" t="s">
        <v>35</v>
      </c>
      <c r="D233" t="s">
        <v>100</v>
      </c>
      <c r="E233">
        <v>60</v>
      </c>
      <c r="F233">
        <v>3</v>
      </c>
      <c r="G233">
        <v>180</v>
      </c>
      <c r="H233" t="s">
        <v>17</v>
      </c>
    </row>
    <row r="234" spans="1:8">
      <c r="A234" t="s">
        <v>299</v>
      </c>
      <c r="B234" s="1">
        <v>45841</v>
      </c>
      <c r="C234" t="s">
        <v>9</v>
      </c>
      <c r="D234" t="s">
        <v>300</v>
      </c>
      <c r="E234">
        <v>80</v>
      </c>
      <c r="G234">
        <v>480</v>
      </c>
      <c r="H234" t="s">
        <v>23</v>
      </c>
    </row>
    <row r="235" spans="1:8">
      <c r="A235" t="s">
        <v>301</v>
      </c>
      <c r="B235" s="1">
        <v>45801</v>
      </c>
      <c r="C235" t="s">
        <v>13</v>
      </c>
      <c r="D235" t="s">
        <v>141</v>
      </c>
      <c r="E235">
        <v>1800</v>
      </c>
      <c r="F235">
        <v>1</v>
      </c>
      <c r="G235">
        <v>1800</v>
      </c>
      <c r="H235" t="s">
        <v>11</v>
      </c>
    </row>
    <row r="236" spans="1:8">
      <c r="A236" t="s">
        <v>302</v>
      </c>
      <c r="B236" s="1">
        <v>45831</v>
      </c>
      <c r="C236" t="s">
        <v>30</v>
      </c>
      <c r="E236">
        <v>900</v>
      </c>
      <c r="F236">
        <v>3</v>
      </c>
      <c r="G236">
        <v>2700</v>
      </c>
      <c r="H236" t="s">
        <v>11</v>
      </c>
    </row>
    <row r="237" spans="1:8">
      <c r="A237" t="s">
        <v>303</v>
      </c>
      <c r="B237" s="1">
        <v>45723</v>
      </c>
      <c r="C237" t="s">
        <v>52</v>
      </c>
      <c r="D237" t="s">
        <v>53</v>
      </c>
      <c r="E237">
        <v>70</v>
      </c>
      <c r="F237">
        <v>1</v>
      </c>
      <c r="G237">
        <v>70</v>
      </c>
      <c r="H237" t="s">
        <v>11</v>
      </c>
    </row>
    <row r="238" spans="1:8">
      <c r="A238" t="s">
        <v>304</v>
      </c>
      <c r="B238" s="1">
        <v>45716</v>
      </c>
      <c r="C238" t="s">
        <v>35</v>
      </c>
      <c r="D238" t="s">
        <v>104</v>
      </c>
      <c r="E238">
        <v>20</v>
      </c>
      <c r="F238">
        <v>6</v>
      </c>
      <c r="G238">
        <v>120</v>
      </c>
      <c r="H238" t="s">
        <v>23</v>
      </c>
    </row>
    <row r="239" spans="1:8">
      <c r="A239" t="s">
        <v>305</v>
      </c>
      <c r="B239" s="1">
        <v>45710</v>
      </c>
      <c r="C239" t="s">
        <v>13</v>
      </c>
      <c r="D239" t="s">
        <v>141</v>
      </c>
      <c r="E239">
        <v>1800</v>
      </c>
      <c r="F239">
        <v>6</v>
      </c>
      <c r="G239">
        <v>10800</v>
      </c>
      <c r="H239" t="s">
        <v>28</v>
      </c>
    </row>
    <row r="240" spans="1:8">
      <c r="A240" t="s">
        <v>306</v>
      </c>
      <c r="B240" s="1">
        <v>45721</v>
      </c>
      <c r="C240" t="s">
        <v>35</v>
      </c>
      <c r="D240" t="s">
        <v>104</v>
      </c>
      <c r="E240">
        <v>20</v>
      </c>
      <c r="F240">
        <v>1</v>
      </c>
      <c r="G240">
        <v>20</v>
      </c>
      <c r="H240" t="s">
        <v>11</v>
      </c>
    </row>
    <row r="241" spans="1:8">
      <c r="A241" t="s">
        <v>307</v>
      </c>
      <c r="B241" s="1">
        <v>45880</v>
      </c>
      <c r="C241" t="s">
        <v>198</v>
      </c>
      <c r="D241" t="s">
        <v>100</v>
      </c>
      <c r="E241">
        <v>60</v>
      </c>
      <c r="F241">
        <v>6</v>
      </c>
      <c r="G241">
        <v>360</v>
      </c>
      <c r="H241" t="s">
        <v>28</v>
      </c>
    </row>
    <row r="242" spans="1:8">
      <c r="A242" t="s">
        <v>308</v>
      </c>
      <c r="B242" s="1">
        <v>45672</v>
      </c>
      <c r="C242" t="s">
        <v>16</v>
      </c>
      <c r="D242" t="s">
        <v>102</v>
      </c>
      <c r="E242">
        <v>300</v>
      </c>
      <c r="F242">
        <v>2</v>
      </c>
      <c r="G242">
        <v>600</v>
      </c>
      <c r="H242" t="s">
        <v>17</v>
      </c>
    </row>
    <row r="243" spans="1:8">
      <c r="A243" t="s">
        <v>309</v>
      </c>
      <c r="B243" s="1">
        <v>45810</v>
      </c>
      <c r="C243" t="s">
        <v>35</v>
      </c>
      <c r="D243" t="s">
        <v>310</v>
      </c>
      <c r="E243">
        <v>90</v>
      </c>
      <c r="F243">
        <v>1</v>
      </c>
      <c r="G243">
        <v>90</v>
      </c>
      <c r="H243" t="s">
        <v>17</v>
      </c>
    </row>
    <row r="244" spans="1:8">
      <c r="A244" t="s">
        <v>311</v>
      </c>
      <c r="B244" s="1">
        <v>45684</v>
      </c>
      <c r="C244" t="s">
        <v>21</v>
      </c>
      <c r="D244" t="s">
        <v>22</v>
      </c>
      <c r="E244">
        <v>220</v>
      </c>
      <c r="F244">
        <v>6</v>
      </c>
      <c r="H244" t="s">
        <v>11</v>
      </c>
    </row>
    <row r="245" spans="1:8">
      <c r="A245" t="s">
        <v>312</v>
      </c>
      <c r="B245" s="1">
        <v>45874</v>
      </c>
      <c r="C245" t="s">
        <v>52</v>
      </c>
      <c r="E245">
        <v>70</v>
      </c>
      <c r="F245">
        <v>4</v>
      </c>
      <c r="G245">
        <v>280</v>
      </c>
      <c r="H245" t="s">
        <v>23</v>
      </c>
    </row>
    <row r="246" spans="1:8">
      <c r="A246" t="s">
        <v>313</v>
      </c>
      <c r="B246" s="1">
        <v>45898</v>
      </c>
      <c r="C246" t="s">
        <v>35</v>
      </c>
      <c r="E246">
        <v>180</v>
      </c>
      <c r="F246">
        <v>3</v>
      </c>
      <c r="G246">
        <v>540</v>
      </c>
      <c r="H246" t="s">
        <v>28</v>
      </c>
    </row>
    <row r="247" spans="1:8">
      <c r="A247" t="s">
        <v>314</v>
      </c>
      <c r="B247" s="1">
        <v>45682</v>
      </c>
      <c r="C247" t="s">
        <v>52</v>
      </c>
      <c r="D247" t="s">
        <v>94</v>
      </c>
      <c r="E247">
        <v>150</v>
      </c>
      <c r="F247">
        <v>6</v>
      </c>
      <c r="H247" t="s">
        <v>17</v>
      </c>
    </row>
    <row r="248" spans="1:8">
      <c r="A248" t="s">
        <v>315</v>
      </c>
      <c r="B248" s="1">
        <v>45707</v>
      </c>
      <c r="C248" t="s">
        <v>30</v>
      </c>
      <c r="D248" t="s">
        <v>70</v>
      </c>
      <c r="E248">
        <v>900</v>
      </c>
      <c r="F248">
        <v>3</v>
      </c>
      <c r="H248" t="s">
        <v>17</v>
      </c>
    </row>
    <row r="249" spans="1:8">
      <c r="A249" t="s">
        <v>316</v>
      </c>
      <c r="B249" s="1">
        <v>45778</v>
      </c>
      <c r="C249" t="s">
        <v>52</v>
      </c>
      <c r="D249" t="s">
        <v>94</v>
      </c>
      <c r="E249">
        <v>150</v>
      </c>
      <c r="F249">
        <v>6</v>
      </c>
      <c r="G249">
        <v>900</v>
      </c>
      <c r="H249" t="s">
        <v>28</v>
      </c>
    </row>
    <row r="250" spans="1:8">
      <c r="A250" t="s">
        <v>317</v>
      </c>
      <c r="B250" s="1">
        <v>45725</v>
      </c>
      <c r="C250" t="s">
        <v>9</v>
      </c>
      <c r="D250" t="s">
        <v>300</v>
      </c>
      <c r="E250">
        <v>80</v>
      </c>
      <c r="F250">
        <v>5</v>
      </c>
      <c r="G250">
        <v>400</v>
      </c>
      <c r="H250" t="s">
        <v>11</v>
      </c>
    </row>
    <row r="251" spans="1:8">
      <c r="A251" t="s">
        <v>318</v>
      </c>
      <c r="B251" s="1">
        <v>45689</v>
      </c>
      <c r="C251" t="s">
        <v>25</v>
      </c>
      <c r="D251" t="s">
        <v>42</v>
      </c>
      <c r="E251">
        <v>30</v>
      </c>
      <c r="F251">
        <v>3</v>
      </c>
      <c r="G251">
        <v>90</v>
      </c>
      <c r="H251" t="s">
        <v>28</v>
      </c>
    </row>
    <row r="252" spans="1:8">
      <c r="A252" t="s">
        <v>319</v>
      </c>
      <c r="B252" s="1">
        <v>45761</v>
      </c>
      <c r="C252" t="s">
        <v>30</v>
      </c>
      <c r="D252" t="s">
        <v>49</v>
      </c>
      <c r="E252">
        <v>400</v>
      </c>
      <c r="F252">
        <v>3</v>
      </c>
      <c r="G252">
        <v>1200</v>
      </c>
      <c r="H252" t="s">
        <v>23</v>
      </c>
    </row>
    <row r="253" spans="1:8">
      <c r="A253" t="s">
        <v>320</v>
      </c>
      <c r="B253" s="1">
        <v>45747</v>
      </c>
      <c r="C253" t="s">
        <v>9</v>
      </c>
      <c r="D253" t="s">
        <v>120</v>
      </c>
      <c r="E253">
        <v>60</v>
      </c>
      <c r="G253">
        <v>180</v>
      </c>
      <c r="H253" t="s">
        <v>11</v>
      </c>
    </row>
    <row r="254" spans="1:8">
      <c r="A254" t="s">
        <v>321</v>
      </c>
      <c r="B254" s="1">
        <v>45855</v>
      </c>
      <c r="C254" t="s">
        <v>30</v>
      </c>
      <c r="D254" t="s">
        <v>38</v>
      </c>
      <c r="E254">
        <v>150</v>
      </c>
      <c r="F254">
        <v>3</v>
      </c>
      <c r="H254" t="s">
        <v>11</v>
      </c>
    </row>
    <row r="255" spans="1:8">
      <c r="A255" t="s">
        <v>322</v>
      </c>
      <c r="B255" s="1">
        <v>45813</v>
      </c>
      <c r="C255" t="s">
        <v>52</v>
      </c>
      <c r="E255">
        <v>70</v>
      </c>
      <c r="F255">
        <v>3</v>
      </c>
      <c r="G255">
        <v>210</v>
      </c>
      <c r="H255" t="s">
        <v>11</v>
      </c>
    </row>
    <row r="256" spans="1:8">
      <c r="A256" t="s">
        <v>323</v>
      </c>
      <c r="B256" s="1">
        <v>45770</v>
      </c>
      <c r="C256" t="s">
        <v>30</v>
      </c>
      <c r="D256" t="s">
        <v>38</v>
      </c>
      <c r="E256">
        <v>150</v>
      </c>
      <c r="F256">
        <v>6</v>
      </c>
      <c r="H256" t="s">
        <v>28</v>
      </c>
    </row>
    <row r="257" spans="1:8">
      <c r="A257" t="s">
        <v>324</v>
      </c>
      <c r="B257" s="1">
        <v>45689</v>
      </c>
      <c r="C257" t="s">
        <v>21</v>
      </c>
      <c r="D257" t="s">
        <v>325</v>
      </c>
      <c r="E257">
        <v>650</v>
      </c>
      <c r="F257">
        <v>3</v>
      </c>
      <c r="G257">
        <v>1950</v>
      </c>
      <c r="H257" t="s">
        <v>23</v>
      </c>
    </row>
    <row r="258" spans="1:8">
      <c r="A258" t="s">
        <v>326</v>
      </c>
      <c r="B258" s="1">
        <v>45693</v>
      </c>
      <c r="C258" t="s">
        <v>9</v>
      </c>
      <c r="E258">
        <v>60</v>
      </c>
      <c r="F258">
        <v>5</v>
      </c>
      <c r="G258">
        <v>300</v>
      </c>
      <c r="H258" t="s">
        <v>23</v>
      </c>
    </row>
    <row r="259" spans="1:8">
      <c r="A259" t="s">
        <v>327</v>
      </c>
      <c r="B259" s="1">
        <v>45832</v>
      </c>
      <c r="C259" t="s">
        <v>9</v>
      </c>
      <c r="D259" t="s">
        <v>300</v>
      </c>
      <c r="E259">
        <v>80</v>
      </c>
      <c r="F259">
        <v>2</v>
      </c>
      <c r="G259">
        <v>160</v>
      </c>
      <c r="H259" t="s">
        <v>17</v>
      </c>
    </row>
    <row r="260" spans="1:8">
      <c r="A260" t="s">
        <v>328</v>
      </c>
      <c r="B260" s="1">
        <v>45772</v>
      </c>
      <c r="C260" t="s">
        <v>13</v>
      </c>
      <c r="D260" t="s">
        <v>72</v>
      </c>
      <c r="E260">
        <v>3200</v>
      </c>
      <c r="F260">
        <v>5</v>
      </c>
      <c r="G260">
        <v>16000</v>
      </c>
      <c r="H260" t="s">
        <v>23</v>
      </c>
    </row>
    <row r="261" spans="1:8">
      <c r="A261" t="s">
        <v>329</v>
      </c>
      <c r="B261" s="1">
        <v>45804</v>
      </c>
      <c r="C261" t="s">
        <v>25</v>
      </c>
      <c r="D261" t="s">
        <v>124</v>
      </c>
      <c r="F261">
        <v>1</v>
      </c>
      <c r="G261">
        <v>40</v>
      </c>
      <c r="H261" t="s">
        <v>17</v>
      </c>
    </row>
    <row r="262" spans="1:8">
      <c r="A262" t="s">
        <v>330</v>
      </c>
      <c r="B262" s="1">
        <v>45743</v>
      </c>
      <c r="C262" t="s">
        <v>13</v>
      </c>
      <c r="D262" t="s">
        <v>141</v>
      </c>
      <c r="E262">
        <v>1800</v>
      </c>
      <c r="F262">
        <v>2</v>
      </c>
      <c r="G262">
        <v>3600</v>
      </c>
      <c r="H262" t="s">
        <v>17</v>
      </c>
    </row>
    <row r="263" spans="1:8">
      <c r="A263" t="s">
        <v>331</v>
      </c>
      <c r="B263" s="1">
        <v>45688</v>
      </c>
      <c r="C263" t="s">
        <v>9</v>
      </c>
      <c r="D263" t="s">
        <v>120</v>
      </c>
      <c r="E263">
        <v>60</v>
      </c>
      <c r="F263">
        <v>6</v>
      </c>
      <c r="G263">
        <v>360</v>
      </c>
      <c r="H263" t="s">
        <v>28</v>
      </c>
    </row>
    <row r="264" spans="1:8">
      <c r="A264" t="s">
        <v>332</v>
      </c>
      <c r="B264" s="1">
        <v>45869</v>
      </c>
      <c r="C264" t="s">
        <v>13</v>
      </c>
      <c r="D264" t="s">
        <v>333</v>
      </c>
      <c r="E264">
        <v>1800</v>
      </c>
      <c r="F264">
        <v>6</v>
      </c>
      <c r="G264">
        <v>10800</v>
      </c>
      <c r="H264" t="s">
        <v>23</v>
      </c>
    </row>
    <row r="265" spans="1:8">
      <c r="A265" t="s">
        <v>334</v>
      </c>
      <c r="B265" s="1">
        <v>45769</v>
      </c>
      <c r="C265" t="s">
        <v>21</v>
      </c>
      <c r="D265" t="s">
        <v>44</v>
      </c>
      <c r="E265">
        <v>380</v>
      </c>
      <c r="F265">
        <v>5</v>
      </c>
      <c r="G265">
        <v>1900</v>
      </c>
      <c r="H265" t="s">
        <v>23</v>
      </c>
    </row>
    <row r="266" spans="1:8">
      <c r="A266" t="s">
        <v>335</v>
      </c>
      <c r="B266" s="1">
        <v>45702</v>
      </c>
      <c r="C266" t="s">
        <v>30</v>
      </c>
      <c r="D266" t="s">
        <v>70</v>
      </c>
      <c r="E266">
        <v>900</v>
      </c>
      <c r="F266">
        <v>5</v>
      </c>
      <c r="G266">
        <v>4500</v>
      </c>
      <c r="H266" t="s">
        <v>23</v>
      </c>
    </row>
    <row r="267" spans="1:8">
      <c r="A267" t="s">
        <v>336</v>
      </c>
      <c r="B267" s="1">
        <v>45844</v>
      </c>
      <c r="C267" t="s">
        <v>9</v>
      </c>
      <c r="D267" t="s">
        <v>10</v>
      </c>
      <c r="F267">
        <v>5</v>
      </c>
      <c r="G267">
        <v>550</v>
      </c>
      <c r="H267" t="s">
        <v>11</v>
      </c>
    </row>
    <row r="268" spans="1:8">
      <c r="A268" t="s">
        <v>337</v>
      </c>
      <c r="B268" s="1">
        <v>45727</v>
      </c>
      <c r="C268" t="s">
        <v>13</v>
      </c>
      <c r="D268" t="s">
        <v>72</v>
      </c>
      <c r="E268">
        <v>3200</v>
      </c>
      <c r="F268">
        <v>4</v>
      </c>
      <c r="G268">
        <v>12800</v>
      </c>
      <c r="H268" t="s">
        <v>17</v>
      </c>
    </row>
    <row r="269" spans="1:8">
      <c r="A269" t="s">
        <v>338</v>
      </c>
      <c r="B269" s="1">
        <v>45799</v>
      </c>
      <c r="C269" t="s">
        <v>35</v>
      </c>
      <c r="D269" t="s">
        <v>87</v>
      </c>
      <c r="E269">
        <v>45</v>
      </c>
      <c r="F269">
        <v>3</v>
      </c>
      <c r="H269" t="s">
        <v>28</v>
      </c>
    </row>
    <row r="270" spans="1:8">
      <c r="A270" t="s">
        <v>339</v>
      </c>
      <c r="B270" s="1">
        <v>45775</v>
      </c>
      <c r="C270" t="s">
        <v>35</v>
      </c>
      <c r="E270">
        <v>90</v>
      </c>
      <c r="F270">
        <v>1</v>
      </c>
      <c r="G270">
        <v>90</v>
      </c>
      <c r="H270" t="s">
        <v>17</v>
      </c>
    </row>
    <row r="271" spans="1:8">
      <c r="A271" t="s">
        <v>340</v>
      </c>
      <c r="B271" s="1">
        <v>45731</v>
      </c>
      <c r="C271" t="s">
        <v>25</v>
      </c>
      <c r="D271" t="s">
        <v>26</v>
      </c>
      <c r="E271">
        <v>90</v>
      </c>
      <c r="F271">
        <v>3</v>
      </c>
      <c r="G271">
        <v>270</v>
      </c>
      <c r="H271" t="s">
        <v>17</v>
      </c>
    </row>
    <row r="272" spans="1:8">
      <c r="A272" t="s">
        <v>341</v>
      </c>
      <c r="B272" s="1">
        <v>45664</v>
      </c>
      <c r="C272" t="s">
        <v>90</v>
      </c>
      <c r="D272" t="s">
        <v>82</v>
      </c>
      <c r="E272">
        <v>350</v>
      </c>
      <c r="F272">
        <v>2</v>
      </c>
      <c r="G272">
        <v>700</v>
      </c>
      <c r="H272" t="s">
        <v>11</v>
      </c>
    </row>
    <row r="273" spans="1:8">
      <c r="A273" t="s">
        <v>342</v>
      </c>
      <c r="B273" s="1">
        <v>45713</v>
      </c>
      <c r="C273" t="s">
        <v>52</v>
      </c>
      <c r="D273" t="s">
        <v>196</v>
      </c>
      <c r="E273">
        <v>65</v>
      </c>
      <c r="F273">
        <v>5</v>
      </c>
      <c r="G273">
        <v>325</v>
      </c>
      <c r="H273" t="s">
        <v>28</v>
      </c>
    </row>
    <row r="274" spans="1:8">
      <c r="A274" t="s">
        <v>343</v>
      </c>
      <c r="B274" s="1">
        <v>45820</v>
      </c>
      <c r="C274" t="s">
        <v>76</v>
      </c>
      <c r="D274" t="s">
        <v>42</v>
      </c>
      <c r="E274">
        <v>30</v>
      </c>
      <c r="F274">
        <v>5</v>
      </c>
      <c r="G274">
        <v>150</v>
      </c>
      <c r="H274" t="s">
        <v>23</v>
      </c>
    </row>
    <row r="275" spans="1:8">
      <c r="A275" t="s">
        <v>344</v>
      </c>
      <c r="B275" s="1">
        <v>45879</v>
      </c>
      <c r="C275" t="s">
        <v>13</v>
      </c>
      <c r="D275" t="s">
        <v>345</v>
      </c>
      <c r="E275">
        <v>2500</v>
      </c>
      <c r="F275">
        <v>6</v>
      </c>
      <c r="G275">
        <v>15000</v>
      </c>
      <c r="H275" t="s">
        <v>11</v>
      </c>
    </row>
    <row r="276" spans="1:8">
      <c r="A276" t="s">
        <v>332</v>
      </c>
      <c r="B276" s="1">
        <v>45869</v>
      </c>
      <c r="C276" t="s">
        <v>13</v>
      </c>
      <c r="D276" t="s">
        <v>333</v>
      </c>
      <c r="E276">
        <v>1800</v>
      </c>
      <c r="F276">
        <v>6</v>
      </c>
      <c r="G276">
        <v>10800</v>
      </c>
      <c r="H276" t="s">
        <v>23</v>
      </c>
    </row>
    <row r="277" spans="1:8">
      <c r="A277" t="s">
        <v>346</v>
      </c>
      <c r="B277" s="1">
        <v>45862</v>
      </c>
      <c r="C277" t="s">
        <v>16</v>
      </c>
      <c r="E277">
        <v>1200</v>
      </c>
      <c r="F277">
        <v>3</v>
      </c>
      <c r="G277">
        <v>3600</v>
      </c>
      <c r="H277" t="s">
        <v>11</v>
      </c>
    </row>
    <row r="278" spans="1:8">
      <c r="A278" t="s">
        <v>347</v>
      </c>
      <c r="B278" s="1">
        <v>45881</v>
      </c>
      <c r="C278" t="s">
        <v>52</v>
      </c>
      <c r="D278" t="s">
        <v>148</v>
      </c>
      <c r="E278">
        <v>55</v>
      </c>
      <c r="F278">
        <v>4</v>
      </c>
      <c r="G278">
        <v>220</v>
      </c>
      <c r="H278" t="s">
        <v>17</v>
      </c>
    </row>
    <row r="279" spans="1:8">
      <c r="A279" t="s">
        <v>348</v>
      </c>
      <c r="B279" s="1">
        <v>45836</v>
      </c>
      <c r="C279" t="s">
        <v>35</v>
      </c>
      <c r="D279" t="s">
        <v>100</v>
      </c>
      <c r="E279">
        <v>60</v>
      </c>
      <c r="F279">
        <v>2</v>
      </c>
      <c r="G279">
        <v>180</v>
      </c>
      <c r="H279" t="s">
        <v>28</v>
      </c>
    </row>
    <row r="280" spans="1:8">
      <c r="A280" t="s">
        <v>349</v>
      </c>
      <c r="B280" s="1">
        <v>45694</v>
      </c>
      <c r="C280" t="s">
        <v>21</v>
      </c>
      <c r="D280" t="s">
        <v>61</v>
      </c>
      <c r="E280">
        <v>650</v>
      </c>
      <c r="F280">
        <v>5</v>
      </c>
      <c r="G280">
        <v>3250</v>
      </c>
      <c r="H280" t="s">
        <v>23</v>
      </c>
    </row>
    <row r="281" spans="1:8">
      <c r="A281" t="s">
        <v>350</v>
      </c>
      <c r="B281" s="1">
        <v>45799</v>
      </c>
      <c r="C281" t="s">
        <v>16</v>
      </c>
      <c r="D281" t="s">
        <v>257</v>
      </c>
      <c r="E281">
        <v>500</v>
      </c>
      <c r="F281">
        <v>3</v>
      </c>
      <c r="G281">
        <v>1500</v>
      </c>
      <c r="H281" t="s">
        <v>17</v>
      </c>
    </row>
    <row r="282" spans="1:8">
      <c r="A282" t="s">
        <v>351</v>
      </c>
      <c r="B282" s="1">
        <v>45832</v>
      </c>
      <c r="C282" t="s">
        <v>25</v>
      </c>
      <c r="D282" t="s">
        <v>42</v>
      </c>
      <c r="F282">
        <v>5</v>
      </c>
      <c r="G282">
        <v>150</v>
      </c>
      <c r="H282" t="s">
        <v>17</v>
      </c>
    </row>
    <row r="283" spans="1:8">
      <c r="A283" t="s">
        <v>352</v>
      </c>
      <c r="B283" s="1">
        <v>45815</v>
      </c>
      <c r="C283" t="s">
        <v>16</v>
      </c>
      <c r="D283" t="s">
        <v>47</v>
      </c>
      <c r="E283">
        <v>800</v>
      </c>
      <c r="F283">
        <v>5</v>
      </c>
      <c r="G283">
        <v>4000</v>
      </c>
      <c r="H283" t="s">
        <v>11</v>
      </c>
    </row>
    <row r="284" spans="1:8">
      <c r="A284" t="s">
        <v>353</v>
      </c>
      <c r="B284" s="1">
        <v>45785</v>
      </c>
      <c r="C284" t="s">
        <v>52</v>
      </c>
      <c r="D284" t="s">
        <v>196</v>
      </c>
      <c r="F284">
        <v>1</v>
      </c>
      <c r="G284">
        <v>65</v>
      </c>
      <c r="H284" t="s">
        <v>28</v>
      </c>
    </row>
    <row r="285" spans="1:8">
      <c r="A285" t="s">
        <v>354</v>
      </c>
      <c r="B285" s="1">
        <v>45733</v>
      </c>
      <c r="C285" t="s">
        <v>21</v>
      </c>
      <c r="D285" t="s">
        <v>61</v>
      </c>
      <c r="F285">
        <v>1</v>
      </c>
      <c r="G285">
        <v>650</v>
      </c>
      <c r="H285" t="s">
        <v>28</v>
      </c>
    </row>
    <row r="286" spans="1:8">
      <c r="A286" t="s">
        <v>355</v>
      </c>
      <c r="B286" s="1">
        <v>45723</v>
      </c>
      <c r="C286" t="s">
        <v>25</v>
      </c>
      <c r="D286" t="s">
        <v>42</v>
      </c>
      <c r="E286">
        <v>30</v>
      </c>
      <c r="F286">
        <v>2</v>
      </c>
      <c r="G286">
        <v>60</v>
      </c>
      <c r="H286" t="s">
        <v>28</v>
      </c>
    </row>
    <row r="287" spans="1:8">
      <c r="A287" t="s">
        <v>356</v>
      </c>
      <c r="B287" s="1">
        <v>45675</v>
      </c>
      <c r="C287" t="s">
        <v>198</v>
      </c>
      <c r="D287" t="s">
        <v>36</v>
      </c>
      <c r="E287">
        <v>90</v>
      </c>
      <c r="F287">
        <v>5</v>
      </c>
      <c r="G287">
        <v>450</v>
      </c>
      <c r="H287" t="s">
        <v>11</v>
      </c>
    </row>
    <row r="288" spans="1:8">
      <c r="A288" t="s">
        <v>357</v>
      </c>
      <c r="B288" s="1">
        <v>45708</v>
      </c>
      <c r="C288" t="s">
        <v>30</v>
      </c>
      <c r="D288" t="s">
        <v>70</v>
      </c>
      <c r="E288">
        <v>900</v>
      </c>
      <c r="F288">
        <v>3</v>
      </c>
      <c r="G288">
        <v>2700</v>
      </c>
      <c r="H288" t="s">
        <v>28</v>
      </c>
    </row>
    <row r="289" spans="1:8">
      <c r="A289" t="s">
        <v>358</v>
      </c>
      <c r="B289" s="1">
        <v>45688</v>
      </c>
      <c r="C289" t="s">
        <v>21</v>
      </c>
      <c r="D289" t="s">
        <v>122</v>
      </c>
      <c r="E289">
        <v>190</v>
      </c>
      <c r="F289">
        <v>5</v>
      </c>
      <c r="G289">
        <v>950</v>
      </c>
      <c r="H289" t="s">
        <v>23</v>
      </c>
    </row>
    <row r="290" spans="1:8">
      <c r="A290" t="s">
        <v>279</v>
      </c>
      <c r="B290" s="1">
        <v>45670</v>
      </c>
      <c r="C290" t="s">
        <v>30</v>
      </c>
      <c r="D290" t="s">
        <v>70</v>
      </c>
      <c r="E290">
        <v>900</v>
      </c>
      <c r="F290">
        <v>2</v>
      </c>
      <c r="G290">
        <v>2700</v>
      </c>
      <c r="H290" t="s">
        <v>23</v>
      </c>
    </row>
    <row r="291" spans="1:8">
      <c r="A291" t="s">
        <v>359</v>
      </c>
      <c r="B291" s="1">
        <v>45882</v>
      </c>
      <c r="C291" t="s">
        <v>35</v>
      </c>
      <c r="D291" t="s">
        <v>100</v>
      </c>
      <c r="E291">
        <v>60</v>
      </c>
      <c r="F291">
        <v>6</v>
      </c>
      <c r="G291">
        <v>360</v>
      </c>
      <c r="H291" t="s">
        <v>23</v>
      </c>
    </row>
    <row r="292" spans="1:8">
      <c r="A292" t="s">
        <v>360</v>
      </c>
      <c r="B292" s="1">
        <v>45813</v>
      </c>
      <c r="C292" t="s">
        <v>13</v>
      </c>
      <c r="E292">
        <v>2500</v>
      </c>
      <c r="F292">
        <v>6</v>
      </c>
      <c r="G292">
        <v>15000</v>
      </c>
      <c r="H292" t="s">
        <v>28</v>
      </c>
    </row>
    <row r="293" spans="1:8">
      <c r="A293" t="s">
        <v>361</v>
      </c>
      <c r="B293" s="1">
        <v>45711</v>
      </c>
      <c r="C293" t="s">
        <v>30</v>
      </c>
      <c r="D293" t="s">
        <v>70</v>
      </c>
      <c r="E293">
        <v>900</v>
      </c>
      <c r="F293">
        <v>6</v>
      </c>
      <c r="G293">
        <v>5400</v>
      </c>
      <c r="H293" t="s">
        <v>28</v>
      </c>
    </row>
    <row r="294" spans="1:8">
      <c r="A294" t="s">
        <v>362</v>
      </c>
      <c r="B294" s="1">
        <v>45738</v>
      </c>
      <c r="C294" t="s">
        <v>13</v>
      </c>
      <c r="D294" t="s">
        <v>72</v>
      </c>
      <c r="E294">
        <v>3200</v>
      </c>
      <c r="F294">
        <v>6</v>
      </c>
      <c r="G294">
        <v>19200</v>
      </c>
      <c r="H294" t="s">
        <v>11</v>
      </c>
    </row>
    <row r="295" spans="1:8">
      <c r="A295" t="s">
        <v>363</v>
      </c>
      <c r="B295" s="1">
        <v>45709</v>
      </c>
      <c r="C295" t="s">
        <v>13</v>
      </c>
      <c r="D295" t="s">
        <v>141</v>
      </c>
      <c r="E295">
        <v>1800</v>
      </c>
      <c r="F295">
        <v>6</v>
      </c>
      <c r="H295" t="s">
        <v>28</v>
      </c>
    </row>
    <row r="296" spans="1:8">
      <c r="A296" t="s">
        <v>364</v>
      </c>
      <c r="B296" s="1">
        <v>45866</v>
      </c>
      <c r="C296" t="s">
        <v>25</v>
      </c>
      <c r="D296" t="s">
        <v>114</v>
      </c>
      <c r="E296">
        <v>55</v>
      </c>
      <c r="F296">
        <v>4</v>
      </c>
      <c r="G296">
        <v>330</v>
      </c>
      <c r="H296" t="s">
        <v>17</v>
      </c>
    </row>
    <row r="297" spans="1:8">
      <c r="A297" t="s">
        <v>365</v>
      </c>
      <c r="B297" s="1">
        <v>45878</v>
      </c>
      <c r="C297" t="s">
        <v>30</v>
      </c>
      <c r="D297" t="s">
        <v>78</v>
      </c>
      <c r="E297">
        <v>90</v>
      </c>
      <c r="F297">
        <v>3</v>
      </c>
      <c r="H297" t="s">
        <v>28</v>
      </c>
    </row>
    <row r="298" spans="1:8">
      <c r="A298" t="s">
        <v>366</v>
      </c>
      <c r="B298" s="1">
        <v>45770</v>
      </c>
      <c r="C298" t="s">
        <v>21</v>
      </c>
      <c r="D298" t="s">
        <v>22</v>
      </c>
      <c r="E298">
        <v>220</v>
      </c>
      <c r="F298">
        <v>2</v>
      </c>
      <c r="G298">
        <v>440</v>
      </c>
      <c r="H298" t="s">
        <v>17</v>
      </c>
    </row>
    <row r="299" spans="1:8">
      <c r="A299" t="s">
        <v>367</v>
      </c>
      <c r="B299" s="1">
        <v>45884</v>
      </c>
      <c r="C299" t="s">
        <v>21</v>
      </c>
      <c r="D299" t="s">
        <v>44</v>
      </c>
      <c r="E299">
        <v>380</v>
      </c>
      <c r="F299">
        <v>5</v>
      </c>
      <c r="G299">
        <v>1900</v>
      </c>
      <c r="H299" t="s">
        <v>28</v>
      </c>
    </row>
    <row r="300" spans="1:8">
      <c r="A300" t="s">
        <v>368</v>
      </c>
      <c r="B300" s="1">
        <v>45687</v>
      </c>
      <c r="C300" t="s">
        <v>30</v>
      </c>
      <c r="D300" t="s">
        <v>38</v>
      </c>
      <c r="E300">
        <v>150</v>
      </c>
      <c r="F300">
        <v>3</v>
      </c>
      <c r="G300">
        <v>450</v>
      </c>
      <c r="H300" t="s">
        <v>11</v>
      </c>
    </row>
    <row r="301" spans="1:8">
      <c r="A301" t="s">
        <v>369</v>
      </c>
      <c r="B301" s="1">
        <v>45780</v>
      </c>
      <c r="C301" t="s">
        <v>35</v>
      </c>
      <c r="D301" t="s">
        <v>370</v>
      </c>
      <c r="E301">
        <v>45</v>
      </c>
      <c r="F301">
        <v>1</v>
      </c>
      <c r="G301">
        <v>45</v>
      </c>
      <c r="H301" t="s">
        <v>28</v>
      </c>
    </row>
    <row r="302" spans="1:8">
      <c r="A302" t="s">
        <v>371</v>
      </c>
      <c r="B302" s="1">
        <v>45688</v>
      </c>
      <c r="C302" t="s">
        <v>16</v>
      </c>
      <c r="D302" t="s">
        <v>102</v>
      </c>
      <c r="E302">
        <v>300</v>
      </c>
      <c r="G302">
        <v>1200</v>
      </c>
      <c r="H302" t="s">
        <v>11</v>
      </c>
    </row>
    <row r="303" spans="1:8">
      <c r="A303" t="s">
        <v>372</v>
      </c>
      <c r="B303" s="1">
        <v>45794</v>
      </c>
      <c r="C303" t="s">
        <v>35</v>
      </c>
      <c r="D303" t="s">
        <v>100</v>
      </c>
      <c r="E303">
        <v>60</v>
      </c>
      <c r="F303">
        <v>6</v>
      </c>
      <c r="H303" t="s">
        <v>11</v>
      </c>
    </row>
    <row r="304" spans="1:8">
      <c r="A304" t="s">
        <v>373</v>
      </c>
      <c r="B304" s="1">
        <v>45745</v>
      </c>
      <c r="C304" t="s">
        <v>30</v>
      </c>
      <c r="D304" t="s">
        <v>70</v>
      </c>
      <c r="E304">
        <v>900</v>
      </c>
      <c r="F304">
        <v>5</v>
      </c>
      <c r="G304">
        <v>4500</v>
      </c>
      <c r="H304" t="s">
        <v>23</v>
      </c>
    </row>
    <row r="305" spans="1:8">
      <c r="A305" t="s">
        <v>374</v>
      </c>
      <c r="B305" s="1">
        <v>45800</v>
      </c>
      <c r="C305" t="s">
        <v>30</v>
      </c>
      <c r="E305">
        <v>90</v>
      </c>
      <c r="F305">
        <v>5</v>
      </c>
      <c r="G305">
        <v>450</v>
      </c>
      <c r="H305" t="s">
        <v>28</v>
      </c>
    </row>
    <row r="306" spans="1:8">
      <c r="A306" t="s">
        <v>375</v>
      </c>
      <c r="B306" s="1">
        <v>45711</v>
      </c>
      <c r="C306" t="s">
        <v>35</v>
      </c>
      <c r="D306" t="s">
        <v>104</v>
      </c>
      <c r="E306">
        <v>20</v>
      </c>
      <c r="F306">
        <v>3</v>
      </c>
      <c r="G306">
        <v>60</v>
      </c>
      <c r="H306" t="s">
        <v>11</v>
      </c>
    </row>
    <row r="307" spans="1:8">
      <c r="A307" t="s">
        <v>376</v>
      </c>
      <c r="B307" s="1">
        <v>45831</v>
      </c>
      <c r="C307" t="s">
        <v>290</v>
      </c>
      <c r="D307" t="s">
        <v>72</v>
      </c>
      <c r="E307">
        <v>3200</v>
      </c>
      <c r="F307">
        <v>4</v>
      </c>
      <c r="G307">
        <v>12800</v>
      </c>
      <c r="H307" t="s">
        <v>23</v>
      </c>
    </row>
    <row r="308" spans="1:8">
      <c r="A308" t="s">
        <v>377</v>
      </c>
      <c r="B308" s="1">
        <v>45802</v>
      </c>
      <c r="C308" t="s">
        <v>13</v>
      </c>
      <c r="D308" t="s">
        <v>59</v>
      </c>
      <c r="E308">
        <v>350</v>
      </c>
      <c r="F308">
        <v>1</v>
      </c>
      <c r="G308">
        <v>350</v>
      </c>
      <c r="H308" t="s">
        <v>28</v>
      </c>
    </row>
    <row r="309" spans="1:8">
      <c r="A309" t="s">
        <v>378</v>
      </c>
      <c r="B309" s="1">
        <v>45804</v>
      </c>
      <c r="C309" t="s">
        <v>52</v>
      </c>
      <c r="D309" t="s">
        <v>53</v>
      </c>
      <c r="E309">
        <v>70</v>
      </c>
      <c r="F309">
        <v>6</v>
      </c>
      <c r="G309">
        <v>420</v>
      </c>
      <c r="H309" t="s">
        <v>11</v>
      </c>
    </row>
    <row r="310" spans="1:8">
      <c r="A310" t="s">
        <v>379</v>
      </c>
      <c r="B310" s="1">
        <v>45827</v>
      </c>
      <c r="C310" t="s">
        <v>21</v>
      </c>
      <c r="D310" t="s">
        <v>122</v>
      </c>
      <c r="E310">
        <v>190</v>
      </c>
      <c r="F310">
        <v>4</v>
      </c>
      <c r="G310">
        <v>760</v>
      </c>
      <c r="H310" t="s">
        <v>11</v>
      </c>
    </row>
    <row r="311" spans="1:8">
      <c r="A311" t="s">
        <v>380</v>
      </c>
      <c r="B311" s="1">
        <v>45787</v>
      </c>
      <c r="C311" t="s">
        <v>35</v>
      </c>
      <c r="D311" t="s">
        <v>36</v>
      </c>
      <c r="E311">
        <v>90</v>
      </c>
      <c r="F311">
        <v>4</v>
      </c>
      <c r="G311">
        <v>360</v>
      </c>
      <c r="H311" t="s">
        <v>28</v>
      </c>
    </row>
    <row r="312" spans="1:8">
      <c r="A312" t="s">
        <v>381</v>
      </c>
      <c r="B312" s="1">
        <v>45849</v>
      </c>
      <c r="C312" t="s">
        <v>25</v>
      </c>
      <c r="D312" t="s">
        <v>382</v>
      </c>
      <c r="E312">
        <v>90</v>
      </c>
      <c r="F312">
        <v>2</v>
      </c>
      <c r="G312">
        <v>180</v>
      </c>
      <c r="H312" t="s">
        <v>17</v>
      </c>
    </row>
    <row r="313" spans="1:8">
      <c r="A313" t="s">
        <v>383</v>
      </c>
      <c r="B313" s="1">
        <v>45740</v>
      </c>
      <c r="C313" t="s">
        <v>25</v>
      </c>
      <c r="D313" t="s">
        <v>124</v>
      </c>
      <c r="F313">
        <v>5</v>
      </c>
      <c r="G313">
        <v>200</v>
      </c>
      <c r="H313" t="s">
        <v>17</v>
      </c>
    </row>
    <row r="314" spans="1:8">
      <c r="A314" t="s">
        <v>384</v>
      </c>
      <c r="B314" s="1">
        <v>45704</v>
      </c>
      <c r="C314" t="s">
        <v>16</v>
      </c>
      <c r="D314" t="s">
        <v>47</v>
      </c>
      <c r="E314">
        <v>800</v>
      </c>
      <c r="G314">
        <v>2400</v>
      </c>
      <c r="H314" t="s">
        <v>28</v>
      </c>
    </row>
    <row r="315" spans="1:8">
      <c r="A315" t="s">
        <v>385</v>
      </c>
      <c r="B315" s="1">
        <v>45786</v>
      </c>
      <c r="C315" t="s">
        <v>52</v>
      </c>
      <c r="D315" t="s">
        <v>148</v>
      </c>
      <c r="E315">
        <v>55</v>
      </c>
      <c r="F315">
        <v>4</v>
      </c>
      <c r="G315">
        <v>220</v>
      </c>
      <c r="H315" t="s">
        <v>11</v>
      </c>
    </row>
    <row r="316" spans="1:8">
      <c r="A316" t="s">
        <v>386</v>
      </c>
      <c r="B316" s="1">
        <v>45692</v>
      </c>
      <c r="C316" t="s">
        <v>52</v>
      </c>
      <c r="D316" t="s">
        <v>196</v>
      </c>
      <c r="E316">
        <v>65</v>
      </c>
      <c r="F316">
        <v>4</v>
      </c>
      <c r="G316">
        <v>260</v>
      </c>
      <c r="H316" t="s">
        <v>28</v>
      </c>
    </row>
    <row r="317" spans="1:8">
      <c r="A317" t="s">
        <v>387</v>
      </c>
      <c r="B317" s="1">
        <v>45891</v>
      </c>
      <c r="C317" t="s">
        <v>9</v>
      </c>
      <c r="D317" t="s">
        <v>19</v>
      </c>
      <c r="E317">
        <v>250</v>
      </c>
      <c r="F317">
        <v>5</v>
      </c>
      <c r="G317">
        <v>1250</v>
      </c>
      <c r="H317" t="s">
        <v>17</v>
      </c>
    </row>
    <row r="318" spans="1:8">
      <c r="A318" t="s">
        <v>388</v>
      </c>
      <c r="B318" s="1">
        <v>45775</v>
      </c>
      <c r="C318" t="s">
        <v>30</v>
      </c>
      <c r="D318" t="s">
        <v>38</v>
      </c>
      <c r="E318">
        <v>150</v>
      </c>
      <c r="G318">
        <v>900</v>
      </c>
      <c r="H318" t="s">
        <v>11</v>
      </c>
    </row>
    <row r="319" spans="1:8">
      <c r="A319" t="s">
        <v>389</v>
      </c>
      <c r="B319" s="1">
        <v>45870</v>
      </c>
      <c r="C319" t="s">
        <v>16</v>
      </c>
      <c r="D319" t="s">
        <v>158</v>
      </c>
      <c r="E319">
        <v>450</v>
      </c>
      <c r="F319">
        <v>4</v>
      </c>
      <c r="G319">
        <v>1800</v>
      </c>
      <c r="H319" t="s">
        <v>28</v>
      </c>
    </row>
    <row r="320" spans="1:8">
      <c r="A320" t="s">
        <v>390</v>
      </c>
      <c r="B320" s="1">
        <v>45685</v>
      </c>
      <c r="C320" t="s">
        <v>9</v>
      </c>
      <c r="D320" t="s">
        <v>10</v>
      </c>
      <c r="E320">
        <v>110</v>
      </c>
      <c r="F320">
        <v>3</v>
      </c>
      <c r="G320">
        <v>330</v>
      </c>
      <c r="H320" t="s">
        <v>17</v>
      </c>
    </row>
    <row r="321" spans="1:8">
      <c r="A321" t="s">
        <v>391</v>
      </c>
      <c r="B321" s="1">
        <v>45749</v>
      </c>
      <c r="C321" t="s">
        <v>21</v>
      </c>
      <c r="D321" t="s">
        <v>122</v>
      </c>
      <c r="E321">
        <v>190</v>
      </c>
      <c r="F321">
        <v>1</v>
      </c>
      <c r="G321">
        <v>190</v>
      </c>
      <c r="H321" t="s">
        <v>23</v>
      </c>
    </row>
    <row r="322" spans="1:8">
      <c r="A322" t="s">
        <v>392</v>
      </c>
      <c r="B322" s="1">
        <v>45672</v>
      </c>
      <c r="C322" t="s">
        <v>25</v>
      </c>
      <c r="D322" t="s">
        <v>114</v>
      </c>
      <c r="E322">
        <v>55</v>
      </c>
      <c r="F322">
        <v>2</v>
      </c>
      <c r="G322">
        <v>110</v>
      </c>
      <c r="H322" t="s">
        <v>11</v>
      </c>
    </row>
    <row r="323" spans="1:8">
      <c r="A323" t="s">
        <v>393</v>
      </c>
      <c r="B323" s="1">
        <v>45848</v>
      </c>
      <c r="C323" t="s">
        <v>30</v>
      </c>
      <c r="D323" t="s">
        <v>38</v>
      </c>
      <c r="E323">
        <v>150</v>
      </c>
      <c r="G323">
        <v>450</v>
      </c>
      <c r="H323" t="s">
        <v>23</v>
      </c>
    </row>
    <row r="324" spans="1:8">
      <c r="A324" t="s">
        <v>394</v>
      </c>
      <c r="B324" s="1">
        <v>45865</v>
      </c>
      <c r="C324" t="s">
        <v>16</v>
      </c>
      <c r="D324" t="s">
        <v>158</v>
      </c>
      <c r="E324">
        <v>450</v>
      </c>
      <c r="F324">
        <v>4</v>
      </c>
      <c r="G324">
        <v>1800</v>
      </c>
      <c r="H324" t="s">
        <v>17</v>
      </c>
    </row>
    <row r="325" spans="1:8">
      <c r="A325" t="s">
        <v>395</v>
      </c>
      <c r="B325" s="1">
        <v>45793</v>
      </c>
      <c r="C325" t="s">
        <v>9</v>
      </c>
      <c r="D325" t="s">
        <v>10</v>
      </c>
      <c r="E325">
        <v>110</v>
      </c>
      <c r="F325">
        <v>3</v>
      </c>
      <c r="G325">
        <v>330</v>
      </c>
      <c r="H325" t="s">
        <v>28</v>
      </c>
    </row>
    <row r="326" spans="1:8">
      <c r="A326" t="s">
        <v>396</v>
      </c>
      <c r="B326" s="1">
        <v>45784</v>
      </c>
      <c r="C326" t="s">
        <v>35</v>
      </c>
      <c r="E326">
        <v>20</v>
      </c>
      <c r="F326">
        <v>3</v>
      </c>
      <c r="G326">
        <v>60</v>
      </c>
      <c r="H326" t="s">
        <v>17</v>
      </c>
    </row>
    <row r="327" spans="1:8">
      <c r="A327" t="s">
        <v>397</v>
      </c>
      <c r="B327" s="1">
        <v>45703</v>
      </c>
      <c r="C327" t="s">
        <v>52</v>
      </c>
      <c r="E327">
        <v>65</v>
      </c>
      <c r="F327">
        <v>3</v>
      </c>
      <c r="G327">
        <v>195</v>
      </c>
      <c r="H327" t="s">
        <v>23</v>
      </c>
    </row>
    <row r="328" spans="1:8">
      <c r="A328" t="s">
        <v>398</v>
      </c>
      <c r="B328" s="1">
        <v>45704</v>
      </c>
      <c r="C328" t="s">
        <v>25</v>
      </c>
      <c r="D328" t="s">
        <v>42</v>
      </c>
      <c r="E328">
        <v>30</v>
      </c>
      <c r="F328">
        <v>1</v>
      </c>
      <c r="G328">
        <v>30</v>
      </c>
      <c r="H328" t="s">
        <v>23</v>
      </c>
    </row>
    <row r="329" spans="1:8">
      <c r="A329" t="s">
        <v>399</v>
      </c>
      <c r="B329" s="1">
        <v>45774</v>
      </c>
      <c r="C329" t="s">
        <v>13</v>
      </c>
      <c r="D329" t="s">
        <v>14</v>
      </c>
      <c r="E329">
        <v>2500</v>
      </c>
      <c r="F329">
        <v>1</v>
      </c>
      <c r="H329" t="s">
        <v>17</v>
      </c>
    </row>
    <row r="330" spans="1:8">
      <c r="A330" t="s">
        <v>400</v>
      </c>
      <c r="B330" s="1">
        <v>45753</v>
      </c>
      <c r="C330" t="s">
        <v>25</v>
      </c>
      <c r="D330" t="s">
        <v>26</v>
      </c>
      <c r="F330">
        <v>3</v>
      </c>
      <c r="G330">
        <v>270</v>
      </c>
      <c r="H330" t="s">
        <v>28</v>
      </c>
    </row>
    <row r="331" spans="1:8">
      <c r="A331" t="s">
        <v>401</v>
      </c>
      <c r="B331" s="1">
        <v>45853</v>
      </c>
      <c r="C331" t="s">
        <v>9</v>
      </c>
      <c r="D331" t="s">
        <v>300</v>
      </c>
      <c r="E331">
        <v>80</v>
      </c>
      <c r="F331">
        <v>2</v>
      </c>
      <c r="H331" t="s">
        <v>23</v>
      </c>
    </row>
    <row r="332" spans="1:8">
      <c r="A332" t="s">
        <v>402</v>
      </c>
      <c r="B332" s="1">
        <v>45893</v>
      </c>
      <c r="C332" t="s">
        <v>21</v>
      </c>
      <c r="D332" t="s">
        <v>122</v>
      </c>
      <c r="E332">
        <v>190</v>
      </c>
      <c r="F332">
        <v>2</v>
      </c>
      <c r="G332">
        <v>380</v>
      </c>
      <c r="H332" t="s">
        <v>11</v>
      </c>
    </row>
    <row r="333" spans="1:8">
      <c r="A333" t="s">
        <v>403</v>
      </c>
      <c r="B333" s="1">
        <v>45751</v>
      </c>
      <c r="C333" t="s">
        <v>404</v>
      </c>
      <c r="D333" t="s">
        <v>92</v>
      </c>
      <c r="E333">
        <v>75</v>
      </c>
      <c r="F333">
        <v>4</v>
      </c>
      <c r="G333">
        <v>300</v>
      </c>
      <c r="H333" t="s">
        <v>17</v>
      </c>
    </row>
    <row r="334" spans="1:8">
      <c r="A334" t="s">
        <v>313</v>
      </c>
      <c r="B334" s="1">
        <v>45898</v>
      </c>
      <c r="C334" t="s">
        <v>35</v>
      </c>
      <c r="E334">
        <v>180</v>
      </c>
      <c r="F334">
        <v>3</v>
      </c>
      <c r="G334">
        <v>540</v>
      </c>
      <c r="H334" t="s">
        <v>28</v>
      </c>
    </row>
    <row r="335" spans="1:8">
      <c r="A335" t="s">
        <v>405</v>
      </c>
      <c r="B335" s="1">
        <v>45859</v>
      </c>
      <c r="C335" t="s">
        <v>35</v>
      </c>
      <c r="D335" t="s">
        <v>104</v>
      </c>
      <c r="F335">
        <v>4</v>
      </c>
      <c r="G335">
        <v>80</v>
      </c>
      <c r="H335" t="s">
        <v>28</v>
      </c>
    </row>
    <row r="336" spans="1:8">
      <c r="A336" t="s">
        <v>406</v>
      </c>
      <c r="B336" s="1">
        <v>45853</v>
      </c>
      <c r="C336" t="s">
        <v>52</v>
      </c>
      <c r="E336">
        <v>120</v>
      </c>
      <c r="F336">
        <v>2</v>
      </c>
      <c r="G336">
        <v>240</v>
      </c>
      <c r="H336" t="s">
        <v>23</v>
      </c>
    </row>
    <row r="337" spans="1:8">
      <c r="A337" t="s">
        <v>407</v>
      </c>
      <c r="B337" s="1">
        <v>45833</v>
      </c>
      <c r="C337" t="s">
        <v>21</v>
      </c>
      <c r="E337">
        <v>75</v>
      </c>
      <c r="F337">
        <v>2</v>
      </c>
      <c r="G337">
        <v>150</v>
      </c>
      <c r="H337" t="s">
        <v>28</v>
      </c>
    </row>
    <row r="338" spans="1:8">
      <c r="A338" t="s">
        <v>408</v>
      </c>
      <c r="B338" s="1">
        <v>45810</v>
      </c>
      <c r="C338" t="s">
        <v>25</v>
      </c>
      <c r="D338" t="s">
        <v>26</v>
      </c>
      <c r="E338">
        <v>90</v>
      </c>
      <c r="F338">
        <v>4</v>
      </c>
      <c r="H338" t="s">
        <v>28</v>
      </c>
    </row>
    <row r="339" spans="1:8">
      <c r="A339" t="s">
        <v>409</v>
      </c>
      <c r="B339" s="1">
        <v>45732</v>
      </c>
      <c r="C339" t="s">
        <v>30</v>
      </c>
      <c r="D339" t="s">
        <v>38</v>
      </c>
      <c r="E339">
        <v>150</v>
      </c>
      <c r="F339">
        <v>3</v>
      </c>
      <c r="G339">
        <v>450</v>
      </c>
      <c r="H339" t="s">
        <v>28</v>
      </c>
    </row>
    <row r="340" spans="1:8">
      <c r="A340" t="s">
        <v>410</v>
      </c>
      <c r="B340" s="1">
        <v>45810</v>
      </c>
      <c r="C340" t="s">
        <v>13</v>
      </c>
      <c r="D340" t="s">
        <v>59</v>
      </c>
      <c r="F340">
        <v>2</v>
      </c>
      <c r="G340">
        <v>700</v>
      </c>
      <c r="H340" t="s">
        <v>28</v>
      </c>
    </row>
    <row r="341" spans="1:8">
      <c r="A341" t="s">
        <v>411</v>
      </c>
      <c r="B341" s="1">
        <v>45799</v>
      </c>
      <c r="C341" t="s">
        <v>21</v>
      </c>
      <c r="E341">
        <v>190</v>
      </c>
      <c r="F341">
        <v>4</v>
      </c>
      <c r="G341">
        <v>760</v>
      </c>
      <c r="H341" t="s">
        <v>28</v>
      </c>
    </row>
    <row r="342" spans="1:8">
      <c r="A342" t="s">
        <v>412</v>
      </c>
      <c r="B342" s="1">
        <v>45664</v>
      </c>
      <c r="C342" t="s">
        <v>13</v>
      </c>
      <c r="D342" t="s">
        <v>59</v>
      </c>
      <c r="E342">
        <v>350</v>
      </c>
      <c r="F342">
        <v>5</v>
      </c>
      <c r="G342">
        <v>1750</v>
      </c>
      <c r="H342" t="s">
        <v>28</v>
      </c>
    </row>
    <row r="343" spans="1:8">
      <c r="A343" t="s">
        <v>413</v>
      </c>
      <c r="B343" s="1">
        <v>45807</v>
      </c>
      <c r="C343" t="s">
        <v>35</v>
      </c>
      <c r="D343" t="s">
        <v>139</v>
      </c>
      <c r="E343">
        <v>180</v>
      </c>
      <c r="F343">
        <v>1</v>
      </c>
      <c r="G343">
        <v>180</v>
      </c>
      <c r="H343" t="s">
        <v>28</v>
      </c>
    </row>
    <row r="344" spans="1:8">
      <c r="A344" t="s">
        <v>414</v>
      </c>
      <c r="B344" s="1">
        <v>45720</v>
      </c>
      <c r="C344" t="s">
        <v>16</v>
      </c>
      <c r="D344" t="s">
        <v>257</v>
      </c>
      <c r="E344">
        <v>500</v>
      </c>
      <c r="F344">
        <v>4</v>
      </c>
      <c r="G344">
        <v>2000</v>
      </c>
      <c r="H344" t="s">
        <v>28</v>
      </c>
    </row>
    <row r="345" spans="1:8">
      <c r="A345" t="s">
        <v>415</v>
      </c>
      <c r="B345" s="1">
        <v>45830</v>
      </c>
      <c r="C345" t="s">
        <v>13</v>
      </c>
      <c r="D345" t="s">
        <v>33</v>
      </c>
      <c r="E345">
        <v>700</v>
      </c>
      <c r="F345">
        <v>1</v>
      </c>
      <c r="H345" t="s">
        <v>11</v>
      </c>
    </row>
    <row r="346" spans="1:8">
      <c r="A346" t="s">
        <v>416</v>
      </c>
      <c r="B346" s="1">
        <v>45700</v>
      </c>
      <c r="C346" t="s">
        <v>30</v>
      </c>
      <c r="D346" t="s">
        <v>38</v>
      </c>
      <c r="E346">
        <v>150</v>
      </c>
      <c r="F346">
        <v>6</v>
      </c>
      <c r="G346">
        <v>900</v>
      </c>
      <c r="H346" t="s">
        <v>28</v>
      </c>
    </row>
    <row r="347" spans="1:8">
      <c r="A347" t="s">
        <v>417</v>
      </c>
      <c r="B347" s="1">
        <v>45884</v>
      </c>
      <c r="C347" t="s">
        <v>52</v>
      </c>
      <c r="D347" t="s">
        <v>196</v>
      </c>
      <c r="E347">
        <v>65</v>
      </c>
      <c r="F347">
        <v>6</v>
      </c>
      <c r="G347">
        <v>390</v>
      </c>
      <c r="H347" t="s">
        <v>23</v>
      </c>
    </row>
    <row r="348" spans="1:8">
      <c r="A348" t="s">
        <v>418</v>
      </c>
      <c r="B348" s="1">
        <v>45863</v>
      </c>
      <c r="C348" t="s">
        <v>16</v>
      </c>
      <c r="D348" t="s">
        <v>102</v>
      </c>
      <c r="E348">
        <v>300</v>
      </c>
      <c r="F348">
        <v>3</v>
      </c>
      <c r="G348">
        <v>900</v>
      </c>
      <c r="H348" t="s">
        <v>17</v>
      </c>
    </row>
    <row r="349" spans="1:8">
      <c r="A349" t="s">
        <v>419</v>
      </c>
      <c r="B349" s="1">
        <v>45835</v>
      </c>
      <c r="C349" t="s">
        <v>9</v>
      </c>
      <c r="D349" t="s">
        <v>82</v>
      </c>
      <c r="E349">
        <v>350</v>
      </c>
      <c r="F349">
        <v>4</v>
      </c>
      <c r="H349" t="s">
        <v>11</v>
      </c>
    </row>
    <row r="350" spans="1:8">
      <c r="A350" t="s">
        <v>420</v>
      </c>
      <c r="B350" s="1">
        <v>45734</v>
      </c>
      <c r="C350" t="s">
        <v>25</v>
      </c>
      <c r="D350" t="s">
        <v>26</v>
      </c>
      <c r="E350">
        <v>90</v>
      </c>
      <c r="F350">
        <v>6</v>
      </c>
      <c r="G350">
        <v>540</v>
      </c>
      <c r="H350" t="s">
        <v>28</v>
      </c>
    </row>
    <row r="351" spans="1:8">
      <c r="A351" t="s">
        <v>421</v>
      </c>
      <c r="B351" s="1">
        <v>45803</v>
      </c>
      <c r="C351" t="s">
        <v>90</v>
      </c>
      <c r="D351" t="s">
        <v>19</v>
      </c>
      <c r="E351">
        <v>250</v>
      </c>
      <c r="F351">
        <v>5</v>
      </c>
      <c r="G351">
        <v>1250</v>
      </c>
      <c r="H351" t="s">
        <v>23</v>
      </c>
    </row>
    <row r="352" spans="1:8">
      <c r="A352" t="s">
        <v>422</v>
      </c>
      <c r="B352" s="1">
        <v>45858</v>
      </c>
      <c r="C352" t="s">
        <v>35</v>
      </c>
      <c r="D352" t="s">
        <v>104</v>
      </c>
      <c r="E352">
        <v>20</v>
      </c>
      <c r="F352">
        <v>6</v>
      </c>
      <c r="G352">
        <v>120</v>
      </c>
      <c r="H352" t="s">
        <v>23</v>
      </c>
    </row>
    <row r="353" spans="1:8">
      <c r="A353" t="s">
        <v>423</v>
      </c>
      <c r="B353" s="1">
        <v>45776</v>
      </c>
      <c r="C353" t="s">
        <v>16</v>
      </c>
      <c r="D353" t="s">
        <v>424</v>
      </c>
      <c r="E353">
        <v>450</v>
      </c>
      <c r="F353">
        <v>4</v>
      </c>
      <c r="G353">
        <v>1800</v>
      </c>
      <c r="H353" t="s">
        <v>17</v>
      </c>
    </row>
    <row r="354" spans="1:8">
      <c r="A354" t="s">
        <v>425</v>
      </c>
      <c r="B354" s="1">
        <v>45663</v>
      </c>
      <c r="C354" t="s">
        <v>25</v>
      </c>
      <c r="D354" t="s">
        <v>114</v>
      </c>
      <c r="E354">
        <v>55</v>
      </c>
      <c r="G354">
        <v>330</v>
      </c>
      <c r="H354" t="s">
        <v>28</v>
      </c>
    </row>
    <row r="355" spans="1:8">
      <c r="A355" t="s">
        <v>426</v>
      </c>
      <c r="B355" s="1">
        <v>45825</v>
      </c>
      <c r="C355" t="s">
        <v>25</v>
      </c>
      <c r="D355" t="s">
        <v>124</v>
      </c>
      <c r="E355">
        <v>40</v>
      </c>
      <c r="F355">
        <v>2</v>
      </c>
      <c r="G355">
        <v>80</v>
      </c>
      <c r="H355" t="s">
        <v>17</v>
      </c>
    </row>
    <row r="356" spans="1:8">
      <c r="A356" t="s">
        <v>427</v>
      </c>
      <c r="B356" s="1">
        <v>45855</v>
      </c>
      <c r="C356" t="s">
        <v>30</v>
      </c>
      <c r="D356" t="s">
        <v>38</v>
      </c>
      <c r="E356">
        <v>150</v>
      </c>
      <c r="F356">
        <v>4</v>
      </c>
      <c r="G356">
        <v>900</v>
      </c>
      <c r="H356" t="s">
        <v>11</v>
      </c>
    </row>
    <row r="357" spans="1:8">
      <c r="A357" t="s">
        <v>428</v>
      </c>
      <c r="B357" s="1">
        <v>45867</v>
      </c>
      <c r="C357" t="s">
        <v>52</v>
      </c>
      <c r="D357" t="s">
        <v>53</v>
      </c>
      <c r="E357">
        <v>70</v>
      </c>
      <c r="F357">
        <v>2</v>
      </c>
      <c r="G357">
        <v>140</v>
      </c>
      <c r="H357" t="s">
        <v>28</v>
      </c>
    </row>
    <row r="358" spans="1:8">
      <c r="A358" t="s">
        <v>429</v>
      </c>
      <c r="B358" s="1">
        <v>45752</v>
      </c>
      <c r="C358" t="s">
        <v>21</v>
      </c>
      <c r="D358" t="s">
        <v>92</v>
      </c>
      <c r="E358">
        <v>75</v>
      </c>
      <c r="G358">
        <v>150</v>
      </c>
      <c r="H358" t="s">
        <v>23</v>
      </c>
    </row>
    <row r="359" spans="1:8">
      <c r="A359" t="s">
        <v>430</v>
      </c>
      <c r="B359" s="1">
        <v>45662</v>
      </c>
      <c r="C359" t="s">
        <v>25</v>
      </c>
      <c r="D359" t="s">
        <v>98</v>
      </c>
      <c r="E359">
        <v>35</v>
      </c>
      <c r="F359">
        <v>6</v>
      </c>
      <c r="G359">
        <v>210</v>
      </c>
      <c r="H359" t="s">
        <v>23</v>
      </c>
    </row>
    <row r="360" spans="1:8">
      <c r="A360" t="s">
        <v>431</v>
      </c>
      <c r="B360" s="1">
        <v>45800</v>
      </c>
      <c r="C360" t="s">
        <v>25</v>
      </c>
      <c r="D360" t="s">
        <v>124</v>
      </c>
      <c r="E360">
        <v>40</v>
      </c>
      <c r="F360">
        <v>1</v>
      </c>
      <c r="G360">
        <v>40</v>
      </c>
      <c r="H360" t="s">
        <v>28</v>
      </c>
    </row>
    <row r="361" spans="1:8">
      <c r="A361" t="s">
        <v>432</v>
      </c>
      <c r="B361" s="1">
        <v>45706</v>
      </c>
      <c r="C361" t="s">
        <v>13</v>
      </c>
      <c r="D361" t="s">
        <v>72</v>
      </c>
      <c r="E361">
        <v>3200</v>
      </c>
      <c r="F361">
        <v>6</v>
      </c>
      <c r="G361">
        <v>19200</v>
      </c>
      <c r="H361" t="s">
        <v>23</v>
      </c>
    </row>
    <row r="362" spans="1:8">
      <c r="A362" t="s">
        <v>433</v>
      </c>
      <c r="B362" s="1">
        <v>45749</v>
      </c>
      <c r="C362" t="s">
        <v>9</v>
      </c>
      <c r="D362" t="s">
        <v>120</v>
      </c>
      <c r="E362">
        <v>60</v>
      </c>
      <c r="F362">
        <v>3</v>
      </c>
      <c r="G362">
        <v>180</v>
      </c>
      <c r="H362" t="s">
        <v>17</v>
      </c>
    </row>
    <row r="363" spans="1:8">
      <c r="A363" t="s">
        <v>434</v>
      </c>
      <c r="B363" s="1">
        <v>45809</v>
      </c>
      <c r="C363" t="s">
        <v>25</v>
      </c>
      <c r="D363" t="s">
        <v>114</v>
      </c>
      <c r="E363">
        <v>55</v>
      </c>
      <c r="F363">
        <v>3</v>
      </c>
      <c r="G363">
        <v>247.5</v>
      </c>
      <c r="H363" t="s">
        <v>17</v>
      </c>
    </row>
    <row r="364" spans="1:8">
      <c r="A364" t="s">
        <v>435</v>
      </c>
      <c r="B364" s="1">
        <v>45893</v>
      </c>
      <c r="C364" t="s">
        <v>52</v>
      </c>
      <c r="D364" t="s">
        <v>148</v>
      </c>
      <c r="E364">
        <v>55</v>
      </c>
      <c r="G364">
        <v>275</v>
      </c>
      <c r="H364" t="s">
        <v>17</v>
      </c>
    </row>
    <row r="365" spans="1:8">
      <c r="A365" t="s">
        <v>436</v>
      </c>
      <c r="B365" s="1">
        <v>45850</v>
      </c>
      <c r="C365" t="s">
        <v>21</v>
      </c>
      <c r="D365" t="s">
        <v>122</v>
      </c>
      <c r="E365">
        <v>190</v>
      </c>
      <c r="G365">
        <v>570</v>
      </c>
      <c r="H365" t="s">
        <v>28</v>
      </c>
    </row>
    <row r="366" spans="1:8">
      <c r="A366" t="s">
        <v>437</v>
      </c>
      <c r="B366" s="1">
        <v>45676</v>
      </c>
      <c r="C366" t="s">
        <v>35</v>
      </c>
      <c r="D366" t="s">
        <v>104</v>
      </c>
      <c r="E366">
        <v>20</v>
      </c>
      <c r="F366">
        <v>3</v>
      </c>
      <c r="H366" t="s">
        <v>11</v>
      </c>
    </row>
    <row r="367" spans="1:8">
      <c r="A367" t="s">
        <v>438</v>
      </c>
      <c r="B367" s="1">
        <v>45865</v>
      </c>
      <c r="C367" t="s">
        <v>25</v>
      </c>
      <c r="D367" t="s">
        <v>124</v>
      </c>
      <c r="E367">
        <v>40</v>
      </c>
      <c r="F367">
        <v>3</v>
      </c>
      <c r="G367">
        <v>120</v>
      </c>
      <c r="H367" t="s">
        <v>28</v>
      </c>
    </row>
    <row r="368" spans="1:8">
      <c r="A368" t="s">
        <v>439</v>
      </c>
      <c r="B368" s="1">
        <v>45697</v>
      </c>
      <c r="C368" t="s">
        <v>30</v>
      </c>
      <c r="D368" t="s">
        <v>70</v>
      </c>
      <c r="F368">
        <v>6</v>
      </c>
      <c r="G368">
        <v>5400</v>
      </c>
      <c r="H368" t="s">
        <v>28</v>
      </c>
    </row>
    <row r="369" spans="1:8">
      <c r="A369" t="s">
        <v>440</v>
      </c>
      <c r="B369" s="1">
        <v>45741</v>
      </c>
      <c r="C369" t="s">
        <v>9</v>
      </c>
      <c r="D369" t="s">
        <v>300</v>
      </c>
      <c r="E369">
        <v>80</v>
      </c>
      <c r="F369">
        <v>4</v>
      </c>
      <c r="G369">
        <v>320</v>
      </c>
      <c r="H369" t="s">
        <v>23</v>
      </c>
    </row>
    <row r="370" spans="1:8">
      <c r="A370" t="s">
        <v>441</v>
      </c>
      <c r="B370" s="1">
        <v>45759</v>
      </c>
      <c r="C370" t="s">
        <v>16</v>
      </c>
      <c r="D370" t="s">
        <v>102</v>
      </c>
      <c r="E370">
        <v>300</v>
      </c>
      <c r="F370">
        <v>3</v>
      </c>
      <c r="G370">
        <v>900</v>
      </c>
      <c r="H370" t="s">
        <v>23</v>
      </c>
    </row>
    <row r="371" spans="1:8">
      <c r="A371" t="s">
        <v>442</v>
      </c>
      <c r="B371" s="1">
        <v>45770</v>
      </c>
      <c r="C371" t="s">
        <v>16</v>
      </c>
      <c r="D371" t="s">
        <v>257</v>
      </c>
      <c r="F371">
        <v>4</v>
      </c>
      <c r="G371">
        <v>2000</v>
      </c>
      <c r="H371" t="s">
        <v>23</v>
      </c>
    </row>
    <row r="372" spans="1:8">
      <c r="A372" t="s">
        <v>443</v>
      </c>
      <c r="B372" s="1">
        <v>45838</v>
      </c>
      <c r="C372" t="s">
        <v>25</v>
      </c>
      <c r="D372" t="s">
        <v>114</v>
      </c>
      <c r="E372">
        <v>55</v>
      </c>
      <c r="F372">
        <v>3</v>
      </c>
      <c r="G372">
        <v>165</v>
      </c>
      <c r="H372" t="s">
        <v>11</v>
      </c>
    </row>
    <row r="373" spans="1:8">
      <c r="A373" t="s">
        <v>444</v>
      </c>
      <c r="B373" s="1">
        <v>45676</v>
      </c>
      <c r="C373" t="s">
        <v>30</v>
      </c>
      <c r="D373" t="s">
        <v>49</v>
      </c>
      <c r="E373">
        <v>400</v>
      </c>
      <c r="F373">
        <v>5</v>
      </c>
      <c r="G373">
        <v>2000</v>
      </c>
      <c r="H373" t="s">
        <v>11</v>
      </c>
    </row>
    <row r="374" spans="1:8">
      <c r="A374" t="s">
        <v>445</v>
      </c>
      <c r="B374" s="1">
        <v>45681</v>
      </c>
      <c r="C374" t="s">
        <v>16</v>
      </c>
      <c r="D374" t="s">
        <v>47</v>
      </c>
      <c r="E374">
        <v>800</v>
      </c>
      <c r="F374">
        <v>1</v>
      </c>
      <c r="G374">
        <v>800</v>
      </c>
      <c r="H374" t="s">
        <v>28</v>
      </c>
    </row>
    <row r="375" spans="1:8">
      <c r="A375" t="s">
        <v>446</v>
      </c>
      <c r="B375" s="1">
        <v>45857</v>
      </c>
      <c r="C375" t="s">
        <v>35</v>
      </c>
      <c r="D375" t="s">
        <v>36</v>
      </c>
      <c r="E375">
        <v>90</v>
      </c>
      <c r="F375">
        <v>2</v>
      </c>
      <c r="G375">
        <v>270</v>
      </c>
      <c r="H375" t="s">
        <v>23</v>
      </c>
    </row>
    <row r="376" spans="1:8">
      <c r="A376" t="s">
        <v>447</v>
      </c>
      <c r="B376" s="1">
        <v>45788</v>
      </c>
      <c r="C376" t="s">
        <v>9</v>
      </c>
      <c r="D376" t="s">
        <v>10</v>
      </c>
      <c r="E376">
        <v>110</v>
      </c>
      <c r="F376">
        <v>1</v>
      </c>
      <c r="G376">
        <v>110</v>
      </c>
      <c r="H376" t="s">
        <v>17</v>
      </c>
    </row>
    <row r="377" spans="1:8">
      <c r="A377" t="s">
        <v>448</v>
      </c>
      <c r="B377" s="1">
        <v>45807</v>
      </c>
      <c r="C377" t="s">
        <v>9</v>
      </c>
      <c r="E377">
        <v>80</v>
      </c>
      <c r="F377">
        <v>6</v>
      </c>
      <c r="G377">
        <v>480</v>
      </c>
      <c r="H377" t="s">
        <v>28</v>
      </c>
    </row>
    <row r="378" spans="1:8">
      <c r="A378" t="s">
        <v>449</v>
      </c>
      <c r="B378" s="1">
        <v>45820</v>
      </c>
      <c r="C378" t="s">
        <v>9</v>
      </c>
      <c r="D378" t="s">
        <v>300</v>
      </c>
      <c r="E378">
        <v>80</v>
      </c>
      <c r="F378">
        <v>6</v>
      </c>
      <c r="G378">
        <v>480</v>
      </c>
      <c r="H378" t="s">
        <v>23</v>
      </c>
    </row>
    <row r="379" spans="1:8">
      <c r="A379" t="s">
        <v>450</v>
      </c>
      <c r="B379" s="1">
        <v>45771</v>
      </c>
      <c r="C379" t="s">
        <v>25</v>
      </c>
      <c r="E379">
        <v>40</v>
      </c>
      <c r="F379">
        <v>1</v>
      </c>
      <c r="G379">
        <v>40</v>
      </c>
      <c r="H379" t="s">
        <v>17</v>
      </c>
    </row>
    <row r="380" spans="1:8">
      <c r="A380" t="s">
        <v>291</v>
      </c>
      <c r="B380" s="1">
        <v>45796</v>
      </c>
      <c r="C380" t="s">
        <v>16</v>
      </c>
      <c r="D380" t="s">
        <v>47</v>
      </c>
      <c r="E380">
        <v>800</v>
      </c>
      <c r="F380">
        <v>2</v>
      </c>
      <c r="G380">
        <v>1600</v>
      </c>
      <c r="H380" t="s">
        <v>11</v>
      </c>
    </row>
    <row r="381" spans="1:8">
      <c r="A381" t="s">
        <v>451</v>
      </c>
      <c r="B381" s="1">
        <v>45726</v>
      </c>
      <c r="C381" t="s">
        <v>9</v>
      </c>
      <c r="D381" t="s">
        <v>120</v>
      </c>
      <c r="E381">
        <v>60</v>
      </c>
      <c r="F381">
        <v>1</v>
      </c>
      <c r="G381">
        <v>60</v>
      </c>
      <c r="H381" t="s">
        <v>28</v>
      </c>
    </row>
    <row r="382" spans="1:8">
      <c r="A382" t="s">
        <v>452</v>
      </c>
      <c r="B382" s="1">
        <v>45856</v>
      </c>
      <c r="C382" t="s">
        <v>16</v>
      </c>
      <c r="D382" t="s">
        <v>47</v>
      </c>
      <c r="E382">
        <v>800</v>
      </c>
      <c r="F382">
        <v>3</v>
      </c>
      <c r="G382">
        <v>2400</v>
      </c>
      <c r="H382" t="s">
        <v>11</v>
      </c>
    </row>
    <row r="383" spans="1:8">
      <c r="A383" t="s">
        <v>453</v>
      </c>
      <c r="B383" s="1">
        <v>45792</v>
      </c>
      <c r="C383" t="s">
        <v>404</v>
      </c>
      <c r="D383" t="s">
        <v>92</v>
      </c>
      <c r="E383">
        <v>75</v>
      </c>
      <c r="F383">
        <v>1</v>
      </c>
      <c r="G383">
        <v>75</v>
      </c>
      <c r="H383" t="s">
        <v>17</v>
      </c>
    </row>
    <row r="384" spans="1:8">
      <c r="A384" t="s">
        <v>454</v>
      </c>
      <c r="B384" s="1">
        <v>45762</v>
      </c>
      <c r="C384" t="s">
        <v>25</v>
      </c>
      <c r="D384" t="s">
        <v>26</v>
      </c>
      <c r="E384">
        <v>90</v>
      </c>
      <c r="F384">
        <v>4</v>
      </c>
      <c r="G384">
        <v>360</v>
      </c>
      <c r="H384" t="s">
        <v>23</v>
      </c>
    </row>
    <row r="385" spans="1:8">
      <c r="A385" t="s">
        <v>455</v>
      </c>
      <c r="B385" s="1">
        <v>45877</v>
      </c>
      <c r="C385" t="s">
        <v>21</v>
      </c>
      <c r="D385" t="s">
        <v>61</v>
      </c>
      <c r="E385">
        <v>650</v>
      </c>
      <c r="F385">
        <v>6</v>
      </c>
      <c r="G385">
        <v>3900</v>
      </c>
      <c r="H385" t="s">
        <v>28</v>
      </c>
    </row>
    <row r="386" spans="1:8">
      <c r="A386" t="s">
        <v>456</v>
      </c>
      <c r="B386" s="1">
        <v>45670</v>
      </c>
      <c r="C386" t="s">
        <v>198</v>
      </c>
      <c r="D386" t="s">
        <v>36</v>
      </c>
      <c r="E386">
        <v>90</v>
      </c>
      <c r="F386">
        <v>6</v>
      </c>
      <c r="G386">
        <v>540</v>
      </c>
      <c r="H386" t="s">
        <v>17</v>
      </c>
    </row>
    <row r="387" spans="1:8">
      <c r="A387" t="s">
        <v>457</v>
      </c>
      <c r="B387" s="1">
        <v>45875</v>
      </c>
      <c r="C387" t="s">
        <v>25</v>
      </c>
      <c r="D387" t="s">
        <v>26</v>
      </c>
      <c r="E387">
        <v>90</v>
      </c>
      <c r="F387">
        <v>3</v>
      </c>
      <c r="G387">
        <v>270</v>
      </c>
      <c r="H387" t="s">
        <v>11</v>
      </c>
    </row>
    <row r="388" spans="1:8">
      <c r="A388" t="s">
        <v>458</v>
      </c>
      <c r="B388" s="1">
        <v>45829</v>
      </c>
      <c r="C388" t="s">
        <v>21</v>
      </c>
      <c r="D388" t="s">
        <v>61</v>
      </c>
      <c r="E388">
        <v>650</v>
      </c>
      <c r="F388">
        <v>2</v>
      </c>
      <c r="G388">
        <v>1300</v>
      </c>
      <c r="H388" t="s">
        <v>17</v>
      </c>
    </row>
    <row r="389" spans="1:8">
      <c r="A389" t="s">
        <v>459</v>
      </c>
      <c r="B389" s="1">
        <v>45786</v>
      </c>
      <c r="C389" t="s">
        <v>9</v>
      </c>
      <c r="D389" t="s">
        <v>300</v>
      </c>
      <c r="E389">
        <v>80</v>
      </c>
      <c r="F389">
        <v>4</v>
      </c>
      <c r="G389">
        <v>320</v>
      </c>
      <c r="H389" t="s">
        <v>28</v>
      </c>
    </row>
    <row r="390" spans="1:8">
      <c r="A390" t="s">
        <v>460</v>
      </c>
      <c r="B390" s="1">
        <v>45772</v>
      </c>
      <c r="C390" t="s">
        <v>30</v>
      </c>
      <c r="D390" t="s">
        <v>78</v>
      </c>
      <c r="E390">
        <v>90</v>
      </c>
      <c r="F390">
        <v>3</v>
      </c>
      <c r="G390">
        <v>270</v>
      </c>
      <c r="H390" t="s">
        <v>17</v>
      </c>
    </row>
    <row r="391" spans="1:8">
      <c r="A391" t="s">
        <v>461</v>
      </c>
      <c r="B391" s="1">
        <v>45784</v>
      </c>
      <c r="C391" t="s">
        <v>16</v>
      </c>
      <c r="E391">
        <v>450</v>
      </c>
      <c r="F391">
        <v>5</v>
      </c>
      <c r="G391">
        <v>2250</v>
      </c>
      <c r="H391" t="s">
        <v>28</v>
      </c>
    </row>
    <row r="392" spans="1:8">
      <c r="A392" t="s">
        <v>462</v>
      </c>
      <c r="B392" s="1">
        <v>45750</v>
      </c>
      <c r="C392" t="s">
        <v>16</v>
      </c>
      <c r="D392" t="s">
        <v>102</v>
      </c>
      <c r="E392">
        <v>300</v>
      </c>
      <c r="F392">
        <v>6</v>
      </c>
      <c r="G392">
        <v>1800</v>
      </c>
      <c r="H392" t="s">
        <v>17</v>
      </c>
    </row>
    <row r="393" spans="1:8">
      <c r="A393" t="s">
        <v>463</v>
      </c>
      <c r="B393" s="1">
        <v>45722</v>
      </c>
      <c r="C393" t="s">
        <v>35</v>
      </c>
      <c r="D393" t="s">
        <v>36</v>
      </c>
      <c r="E393">
        <v>90</v>
      </c>
      <c r="F393">
        <v>3</v>
      </c>
      <c r="G393">
        <v>270</v>
      </c>
      <c r="H393" t="s">
        <v>11</v>
      </c>
    </row>
    <row r="394" spans="1:8">
      <c r="A394" t="s">
        <v>464</v>
      </c>
      <c r="B394" s="1">
        <v>45798</v>
      </c>
      <c r="C394" t="s">
        <v>465</v>
      </c>
      <c r="D394" t="s">
        <v>94</v>
      </c>
      <c r="E394">
        <v>150</v>
      </c>
      <c r="F394">
        <v>1</v>
      </c>
      <c r="G394">
        <v>150</v>
      </c>
      <c r="H394" t="s">
        <v>11</v>
      </c>
    </row>
    <row r="395" spans="1:8">
      <c r="A395" t="s">
        <v>466</v>
      </c>
      <c r="B395" s="1">
        <v>45673</v>
      </c>
      <c r="C395" t="s">
        <v>16</v>
      </c>
      <c r="E395">
        <v>450</v>
      </c>
      <c r="F395">
        <v>2</v>
      </c>
      <c r="G395">
        <v>900</v>
      </c>
      <c r="H395" t="s">
        <v>28</v>
      </c>
    </row>
    <row r="396" spans="1:8">
      <c r="A396" t="s">
        <v>467</v>
      </c>
      <c r="B396" s="1">
        <v>45883</v>
      </c>
      <c r="C396" t="s">
        <v>13</v>
      </c>
      <c r="D396" t="s">
        <v>14</v>
      </c>
      <c r="E396">
        <v>2500</v>
      </c>
      <c r="F396">
        <v>5</v>
      </c>
      <c r="G396">
        <v>12500</v>
      </c>
      <c r="H396" t="s">
        <v>11</v>
      </c>
    </row>
    <row r="397" spans="1:8">
      <c r="A397" t="s">
        <v>468</v>
      </c>
      <c r="B397" s="1">
        <v>45768</v>
      </c>
      <c r="C397" t="s">
        <v>52</v>
      </c>
      <c r="D397" t="s">
        <v>196</v>
      </c>
      <c r="E397">
        <v>65</v>
      </c>
      <c r="F397">
        <v>3</v>
      </c>
      <c r="H397" t="s">
        <v>17</v>
      </c>
    </row>
    <row r="398" spans="1:8">
      <c r="A398" t="s">
        <v>469</v>
      </c>
      <c r="B398" s="1">
        <v>45768</v>
      </c>
      <c r="C398" t="s">
        <v>52</v>
      </c>
      <c r="D398" t="s">
        <v>53</v>
      </c>
      <c r="E398">
        <v>70</v>
      </c>
      <c r="F398">
        <v>1</v>
      </c>
      <c r="G398">
        <v>70</v>
      </c>
      <c r="H398" t="s">
        <v>17</v>
      </c>
    </row>
    <row r="399" spans="1:8">
      <c r="A399" t="s">
        <v>167</v>
      </c>
      <c r="B399" s="1">
        <v>45845</v>
      </c>
      <c r="C399" t="s">
        <v>52</v>
      </c>
      <c r="D399" t="s">
        <v>53</v>
      </c>
      <c r="E399">
        <v>70</v>
      </c>
      <c r="F399">
        <v>1</v>
      </c>
      <c r="G399">
        <v>70</v>
      </c>
      <c r="H399" t="s">
        <v>28</v>
      </c>
    </row>
    <row r="400" spans="1:8">
      <c r="A400" t="s">
        <v>103</v>
      </c>
      <c r="B400" s="1">
        <v>45743</v>
      </c>
      <c r="C400" t="s">
        <v>35</v>
      </c>
      <c r="D400" t="s">
        <v>104</v>
      </c>
      <c r="E400">
        <v>20</v>
      </c>
      <c r="F400">
        <v>1</v>
      </c>
      <c r="G400">
        <v>20</v>
      </c>
      <c r="H400" t="s">
        <v>11</v>
      </c>
    </row>
    <row r="401" spans="1:8">
      <c r="A401" t="s">
        <v>470</v>
      </c>
      <c r="B401" s="1">
        <v>45861</v>
      </c>
      <c r="C401" t="s">
        <v>30</v>
      </c>
      <c r="E401">
        <v>400</v>
      </c>
      <c r="F401">
        <v>6</v>
      </c>
      <c r="G401">
        <v>2400</v>
      </c>
      <c r="H401" t="s">
        <v>28</v>
      </c>
    </row>
    <row r="402" spans="1:8">
      <c r="A402" t="s">
        <v>471</v>
      </c>
      <c r="B402" s="1">
        <v>45751</v>
      </c>
      <c r="C402" t="s">
        <v>35</v>
      </c>
      <c r="D402" t="s">
        <v>104</v>
      </c>
      <c r="E402">
        <v>20</v>
      </c>
      <c r="F402">
        <v>4</v>
      </c>
      <c r="G402">
        <v>80</v>
      </c>
      <c r="H402" t="s">
        <v>11</v>
      </c>
    </row>
    <row r="403" spans="1:8">
      <c r="A403" t="s">
        <v>472</v>
      </c>
      <c r="B403" s="1">
        <v>45896</v>
      </c>
      <c r="C403" t="s">
        <v>13</v>
      </c>
      <c r="D403" t="s">
        <v>14</v>
      </c>
      <c r="E403">
        <v>2500</v>
      </c>
      <c r="F403">
        <v>3</v>
      </c>
      <c r="G403">
        <v>7500</v>
      </c>
      <c r="H403" t="s">
        <v>17</v>
      </c>
    </row>
    <row r="404" spans="1:8">
      <c r="A404" t="s">
        <v>473</v>
      </c>
      <c r="B404" s="1">
        <v>45718</v>
      </c>
      <c r="C404" t="s">
        <v>9</v>
      </c>
      <c r="E404">
        <v>60</v>
      </c>
      <c r="F404">
        <v>2</v>
      </c>
      <c r="G404">
        <v>120</v>
      </c>
      <c r="H404" t="s">
        <v>28</v>
      </c>
    </row>
    <row r="405" spans="1:8">
      <c r="A405" t="s">
        <v>474</v>
      </c>
      <c r="B405" s="1">
        <v>45794</v>
      </c>
      <c r="C405" t="s">
        <v>25</v>
      </c>
      <c r="D405" t="s">
        <v>114</v>
      </c>
      <c r="E405">
        <v>55</v>
      </c>
      <c r="F405">
        <v>5</v>
      </c>
      <c r="G405">
        <v>275</v>
      </c>
      <c r="H405" t="s">
        <v>17</v>
      </c>
    </row>
    <row r="406" spans="1:8">
      <c r="A406" t="s">
        <v>475</v>
      </c>
      <c r="B406" s="1">
        <v>45688</v>
      </c>
      <c r="C406" t="s">
        <v>52</v>
      </c>
      <c r="D406" t="s">
        <v>196</v>
      </c>
      <c r="E406">
        <v>65</v>
      </c>
      <c r="F406">
        <v>4</v>
      </c>
      <c r="G406">
        <v>260</v>
      </c>
      <c r="H406" t="s">
        <v>11</v>
      </c>
    </row>
    <row r="407" spans="1:8">
      <c r="A407" t="s">
        <v>476</v>
      </c>
      <c r="B407" s="1">
        <v>45730</v>
      </c>
      <c r="C407" t="s">
        <v>52</v>
      </c>
      <c r="D407" t="s">
        <v>67</v>
      </c>
      <c r="E407">
        <v>120</v>
      </c>
      <c r="F407">
        <v>3</v>
      </c>
      <c r="G407">
        <v>360</v>
      </c>
      <c r="H407" t="s">
        <v>11</v>
      </c>
    </row>
    <row r="408" spans="1:8">
      <c r="A408" t="s">
        <v>477</v>
      </c>
      <c r="B408" s="1">
        <v>45748</v>
      </c>
      <c r="C408" t="s">
        <v>13</v>
      </c>
      <c r="D408" t="s">
        <v>14</v>
      </c>
      <c r="E408">
        <v>2500</v>
      </c>
      <c r="F408">
        <v>3</v>
      </c>
      <c r="H408" t="s">
        <v>28</v>
      </c>
    </row>
    <row r="409" spans="1:8">
      <c r="A409" t="s">
        <v>478</v>
      </c>
      <c r="B409" s="1">
        <v>45855</v>
      </c>
      <c r="C409" t="s">
        <v>21</v>
      </c>
      <c r="D409" t="s">
        <v>22</v>
      </c>
      <c r="E409">
        <v>220</v>
      </c>
      <c r="F409">
        <v>1</v>
      </c>
      <c r="G409">
        <v>220</v>
      </c>
      <c r="H409" t="s">
        <v>28</v>
      </c>
    </row>
    <row r="410" spans="1:8">
      <c r="A410" t="s">
        <v>479</v>
      </c>
      <c r="B410" s="1">
        <v>45881</v>
      </c>
      <c r="C410" t="s">
        <v>16</v>
      </c>
      <c r="D410" t="s">
        <v>47</v>
      </c>
      <c r="E410">
        <v>800</v>
      </c>
      <c r="F410">
        <v>1</v>
      </c>
      <c r="G410">
        <v>800</v>
      </c>
      <c r="H410" t="s">
        <v>17</v>
      </c>
    </row>
    <row r="411" spans="1:8">
      <c r="A411" t="s">
        <v>480</v>
      </c>
      <c r="B411" s="1">
        <v>45879</v>
      </c>
      <c r="C411" t="s">
        <v>30</v>
      </c>
      <c r="D411" t="s">
        <v>49</v>
      </c>
      <c r="E411">
        <v>400</v>
      </c>
      <c r="F411">
        <v>2</v>
      </c>
      <c r="G411">
        <v>800</v>
      </c>
      <c r="H411" t="s">
        <v>11</v>
      </c>
    </row>
    <row r="412" spans="1:8">
      <c r="A412" t="s">
        <v>481</v>
      </c>
      <c r="B412" s="1">
        <v>45681</v>
      </c>
      <c r="C412" t="s">
        <v>16</v>
      </c>
      <c r="D412" t="s">
        <v>40</v>
      </c>
      <c r="F412">
        <v>1</v>
      </c>
      <c r="G412">
        <v>1200</v>
      </c>
      <c r="H412" t="s">
        <v>11</v>
      </c>
    </row>
    <row r="413" spans="1:8">
      <c r="A413" t="s">
        <v>482</v>
      </c>
      <c r="B413" s="1">
        <v>45812</v>
      </c>
      <c r="C413" t="s">
        <v>13</v>
      </c>
      <c r="D413" t="s">
        <v>72</v>
      </c>
      <c r="E413">
        <v>3200</v>
      </c>
      <c r="F413">
        <v>1</v>
      </c>
      <c r="G413">
        <v>3200</v>
      </c>
      <c r="H413" t="s">
        <v>11</v>
      </c>
    </row>
    <row r="414" spans="1:8">
      <c r="A414" t="s">
        <v>483</v>
      </c>
      <c r="B414" s="1">
        <v>45779</v>
      </c>
      <c r="C414" t="s">
        <v>13</v>
      </c>
      <c r="D414" t="s">
        <v>72</v>
      </c>
      <c r="E414">
        <v>3200</v>
      </c>
      <c r="F414">
        <v>5</v>
      </c>
      <c r="G414">
        <v>16000</v>
      </c>
      <c r="H414" t="s">
        <v>11</v>
      </c>
    </row>
    <row r="415" spans="1:8">
      <c r="A415" t="s">
        <v>484</v>
      </c>
      <c r="B415" s="1">
        <v>45838</v>
      </c>
      <c r="C415" t="s">
        <v>76</v>
      </c>
      <c r="D415" t="s">
        <v>26</v>
      </c>
      <c r="E415">
        <v>90</v>
      </c>
      <c r="F415">
        <v>5</v>
      </c>
      <c r="G415">
        <v>450</v>
      </c>
      <c r="H415" t="s">
        <v>23</v>
      </c>
    </row>
    <row r="416" spans="1:8">
      <c r="A416" t="s">
        <v>485</v>
      </c>
      <c r="B416" s="1">
        <v>45757</v>
      </c>
      <c r="C416" t="s">
        <v>9</v>
      </c>
      <c r="D416" t="s">
        <v>300</v>
      </c>
      <c r="E416">
        <v>80</v>
      </c>
      <c r="F416">
        <v>4</v>
      </c>
      <c r="G416">
        <v>320</v>
      </c>
      <c r="H416" t="s">
        <v>17</v>
      </c>
    </row>
    <row r="417" spans="1:8">
      <c r="A417" t="s">
        <v>486</v>
      </c>
      <c r="B417" s="1">
        <v>45690</v>
      </c>
      <c r="C417" t="s">
        <v>16</v>
      </c>
      <c r="D417" t="s">
        <v>40</v>
      </c>
      <c r="E417">
        <v>1200</v>
      </c>
      <c r="F417">
        <v>2</v>
      </c>
      <c r="G417">
        <v>2400</v>
      </c>
      <c r="H417" t="s">
        <v>28</v>
      </c>
    </row>
    <row r="418" spans="1:8">
      <c r="A418" t="s">
        <v>487</v>
      </c>
      <c r="B418" s="1">
        <v>45765</v>
      </c>
      <c r="C418" t="s">
        <v>186</v>
      </c>
      <c r="D418" t="s">
        <v>78</v>
      </c>
      <c r="E418">
        <v>90</v>
      </c>
      <c r="F418">
        <v>3</v>
      </c>
      <c r="G418">
        <v>270</v>
      </c>
      <c r="H418" t="s">
        <v>11</v>
      </c>
    </row>
    <row r="419" spans="1:8">
      <c r="A419" t="s">
        <v>488</v>
      </c>
      <c r="B419" s="1">
        <v>45819</v>
      </c>
      <c r="C419" t="s">
        <v>9</v>
      </c>
      <c r="D419" t="s">
        <v>10</v>
      </c>
      <c r="F419">
        <v>5</v>
      </c>
      <c r="G419">
        <v>550</v>
      </c>
      <c r="H419" t="s">
        <v>28</v>
      </c>
    </row>
    <row r="420" spans="1:8">
      <c r="A420" t="s">
        <v>489</v>
      </c>
      <c r="B420" s="1">
        <v>45669</v>
      </c>
      <c r="C420" t="s">
        <v>21</v>
      </c>
      <c r="D420" t="s">
        <v>61</v>
      </c>
      <c r="E420">
        <v>650</v>
      </c>
      <c r="F420">
        <v>2</v>
      </c>
      <c r="G420">
        <v>1300</v>
      </c>
      <c r="H420" t="s">
        <v>23</v>
      </c>
    </row>
    <row r="421" spans="1:8">
      <c r="A421" t="s">
        <v>490</v>
      </c>
      <c r="B421" s="1">
        <v>45802</v>
      </c>
      <c r="C421" t="s">
        <v>16</v>
      </c>
      <c r="D421" t="s">
        <v>102</v>
      </c>
      <c r="F421">
        <v>4</v>
      </c>
      <c r="G421">
        <v>1200</v>
      </c>
      <c r="H421" t="s">
        <v>11</v>
      </c>
    </row>
    <row r="422" spans="1:8">
      <c r="A422" t="s">
        <v>491</v>
      </c>
      <c r="B422" s="1">
        <v>45807</v>
      </c>
      <c r="C422" t="s">
        <v>30</v>
      </c>
      <c r="D422" t="s">
        <v>49</v>
      </c>
      <c r="E422">
        <v>400</v>
      </c>
      <c r="F422">
        <v>6</v>
      </c>
      <c r="G422">
        <v>2400</v>
      </c>
      <c r="H422" t="s">
        <v>23</v>
      </c>
    </row>
    <row r="423" spans="1:8">
      <c r="A423" t="s">
        <v>295</v>
      </c>
      <c r="B423" s="1">
        <v>45825</v>
      </c>
      <c r="C423" t="s">
        <v>13</v>
      </c>
      <c r="D423" t="s">
        <v>33</v>
      </c>
      <c r="E423">
        <v>700</v>
      </c>
      <c r="F423">
        <v>5</v>
      </c>
      <c r="G423">
        <v>3500</v>
      </c>
      <c r="H423" t="s">
        <v>23</v>
      </c>
    </row>
    <row r="424" spans="1:8">
      <c r="A424" t="s">
        <v>492</v>
      </c>
      <c r="B424" s="1">
        <v>45842</v>
      </c>
      <c r="C424" t="s">
        <v>30</v>
      </c>
      <c r="D424" t="s">
        <v>70</v>
      </c>
      <c r="E424">
        <v>900</v>
      </c>
      <c r="F424">
        <v>6</v>
      </c>
      <c r="G424">
        <v>5400</v>
      </c>
      <c r="H424" t="s">
        <v>28</v>
      </c>
    </row>
    <row r="425" spans="1:8">
      <c r="A425" t="s">
        <v>493</v>
      </c>
      <c r="B425" s="1">
        <v>45684</v>
      </c>
      <c r="C425" t="s">
        <v>198</v>
      </c>
      <c r="D425" t="s">
        <v>87</v>
      </c>
      <c r="E425">
        <v>45</v>
      </c>
      <c r="F425">
        <v>4</v>
      </c>
      <c r="G425">
        <v>180</v>
      </c>
      <c r="H425" t="s">
        <v>23</v>
      </c>
    </row>
    <row r="426" spans="1:8">
      <c r="A426" t="s">
        <v>494</v>
      </c>
      <c r="B426" s="1">
        <v>45757</v>
      </c>
      <c r="C426" t="s">
        <v>52</v>
      </c>
      <c r="D426" t="s">
        <v>67</v>
      </c>
      <c r="E426">
        <v>120</v>
      </c>
      <c r="F426">
        <v>5</v>
      </c>
      <c r="G426">
        <v>600</v>
      </c>
      <c r="H426" t="s">
        <v>28</v>
      </c>
    </row>
    <row r="427" spans="1:8">
      <c r="A427" t="s">
        <v>495</v>
      </c>
      <c r="B427" s="1">
        <v>45714</v>
      </c>
      <c r="C427" t="s">
        <v>16</v>
      </c>
      <c r="D427" t="s">
        <v>40</v>
      </c>
      <c r="E427">
        <v>1200</v>
      </c>
      <c r="F427">
        <v>4</v>
      </c>
      <c r="G427">
        <v>4800</v>
      </c>
      <c r="H427" t="s">
        <v>28</v>
      </c>
    </row>
    <row r="428" spans="1:8">
      <c r="A428" t="s">
        <v>496</v>
      </c>
      <c r="B428" s="1">
        <v>45820</v>
      </c>
      <c r="C428" t="s">
        <v>21</v>
      </c>
      <c r="D428" t="s">
        <v>44</v>
      </c>
      <c r="E428">
        <v>380</v>
      </c>
      <c r="F428">
        <v>2</v>
      </c>
      <c r="G428">
        <v>760</v>
      </c>
      <c r="H428" t="s">
        <v>11</v>
      </c>
    </row>
    <row r="429" spans="1:8">
      <c r="A429" t="s">
        <v>497</v>
      </c>
      <c r="B429" s="1">
        <v>45841</v>
      </c>
      <c r="C429" t="s">
        <v>13</v>
      </c>
      <c r="D429" t="s">
        <v>72</v>
      </c>
      <c r="E429">
        <v>3200</v>
      </c>
      <c r="F429">
        <v>2</v>
      </c>
      <c r="H429" t="s">
        <v>11</v>
      </c>
    </row>
    <row r="430" spans="1:8">
      <c r="A430" t="s">
        <v>498</v>
      </c>
      <c r="B430" s="1">
        <v>45733</v>
      </c>
      <c r="C430" t="s">
        <v>13</v>
      </c>
      <c r="D430" t="s">
        <v>141</v>
      </c>
      <c r="E430">
        <v>1800</v>
      </c>
      <c r="F430">
        <v>5</v>
      </c>
      <c r="G430">
        <v>9000</v>
      </c>
      <c r="H430" t="s">
        <v>28</v>
      </c>
    </row>
    <row r="431" spans="1:8">
      <c r="A431" t="s">
        <v>499</v>
      </c>
      <c r="B431" s="1">
        <v>45858</v>
      </c>
      <c r="C431" t="s">
        <v>21</v>
      </c>
      <c r="D431" t="s">
        <v>61</v>
      </c>
      <c r="E431">
        <v>650</v>
      </c>
      <c r="F431">
        <v>4</v>
      </c>
      <c r="G431">
        <v>2600</v>
      </c>
      <c r="H431" t="s">
        <v>11</v>
      </c>
    </row>
    <row r="432" spans="1:8">
      <c r="A432" t="s">
        <v>500</v>
      </c>
      <c r="B432" s="1">
        <v>45708</v>
      </c>
      <c r="C432" t="s">
        <v>52</v>
      </c>
      <c r="D432" t="s">
        <v>67</v>
      </c>
      <c r="E432">
        <v>120</v>
      </c>
      <c r="F432">
        <v>3</v>
      </c>
      <c r="G432">
        <v>360</v>
      </c>
      <c r="H432" t="s">
        <v>11</v>
      </c>
    </row>
    <row r="433" spans="1:8">
      <c r="A433" t="s">
        <v>501</v>
      </c>
      <c r="B433" s="1">
        <v>45718</v>
      </c>
      <c r="C433" t="s">
        <v>21</v>
      </c>
      <c r="D433" t="s">
        <v>92</v>
      </c>
      <c r="E433">
        <v>75</v>
      </c>
      <c r="F433">
        <v>6</v>
      </c>
      <c r="G433">
        <v>450</v>
      </c>
      <c r="H433" t="s">
        <v>17</v>
      </c>
    </row>
    <row r="434" spans="1:8">
      <c r="A434" t="s">
        <v>502</v>
      </c>
      <c r="B434" s="1">
        <v>45824</v>
      </c>
      <c r="C434" t="s">
        <v>30</v>
      </c>
      <c r="D434" t="s">
        <v>503</v>
      </c>
      <c r="E434">
        <v>150</v>
      </c>
      <c r="F434">
        <v>6</v>
      </c>
      <c r="G434">
        <v>900</v>
      </c>
      <c r="H434" t="s">
        <v>23</v>
      </c>
    </row>
    <row r="435" spans="1:8">
      <c r="A435" t="s">
        <v>504</v>
      </c>
      <c r="B435" s="1">
        <v>45815</v>
      </c>
      <c r="C435" t="s">
        <v>52</v>
      </c>
      <c r="D435" t="s">
        <v>148</v>
      </c>
      <c r="E435">
        <v>55</v>
      </c>
      <c r="F435">
        <v>4</v>
      </c>
      <c r="G435">
        <v>220</v>
      </c>
      <c r="H435" t="s">
        <v>28</v>
      </c>
    </row>
    <row r="436" spans="1:8">
      <c r="A436" t="s">
        <v>505</v>
      </c>
      <c r="B436" s="1">
        <v>45739</v>
      </c>
      <c r="C436" t="s">
        <v>13</v>
      </c>
      <c r="D436" t="s">
        <v>14</v>
      </c>
      <c r="E436">
        <v>2500</v>
      </c>
      <c r="F436">
        <v>5</v>
      </c>
      <c r="G436">
        <v>12500</v>
      </c>
      <c r="H436" t="s">
        <v>28</v>
      </c>
    </row>
    <row r="437" spans="1:8">
      <c r="A437" t="s">
        <v>506</v>
      </c>
      <c r="B437" s="1">
        <v>45764</v>
      </c>
      <c r="C437" t="s">
        <v>13</v>
      </c>
      <c r="D437" t="s">
        <v>141</v>
      </c>
      <c r="E437">
        <v>1800</v>
      </c>
      <c r="F437">
        <v>3</v>
      </c>
      <c r="G437">
        <v>5400</v>
      </c>
      <c r="H437" t="s">
        <v>28</v>
      </c>
    </row>
    <row r="438" spans="1:8">
      <c r="A438" t="s">
        <v>507</v>
      </c>
      <c r="B438" s="1">
        <v>45825</v>
      </c>
      <c r="C438" t="s">
        <v>35</v>
      </c>
      <c r="E438">
        <v>180</v>
      </c>
      <c r="F438">
        <v>6</v>
      </c>
      <c r="G438">
        <v>1080</v>
      </c>
      <c r="H438" t="s">
        <v>17</v>
      </c>
    </row>
    <row r="439" spans="1:8">
      <c r="A439" t="s">
        <v>508</v>
      </c>
      <c r="B439" s="1">
        <v>45722</v>
      </c>
      <c r="C439" t="s">
        <v>16</v>
      </c>
      <c r="D439" t="s">
        <v>40</v>
      </c>
      <c r="E439">
        <v>1200</v>
      </c>
      <c r="F439">
        <v>4</v>
      </c>
      <c r="G439">
        <v>4800</v>
      </c>
      <c r="H439" t="s">
        <v>17</v>
      </c>
    </row>
    <row r="440" spans="1:8">
      <c r="A440" t="s">
        <v>509</v>
      </c>
      <c r="B440" s="1">
        <v>45682</v>
      </c>
      <c r="C440" t="s">
        <v>30</v>
      </c>
      <c r="D440" t="s">
        <v>49</v>
      </c>
      <c r="E440">
        <v>400</v>
      </c>
      <c r="F440">
        <v>2</v>
      </c>
      <c r="G440">
        <v>800</v>
      </c>
      <c r="H440" t="s">
        <v>17</v>
      </c>
    </row>
    <row r="441" spans="1:8">
      <c r="A441" t="s">
        <v>510</v>
      </c>
      <c r="B441" s="1">
        <v>45660</v>
      </c>
      <c r="C441" t="s">
        <v>25</v>
      </c>
      <c r="D441" t="s">
        <v>26</v>
      </c>
      <c r="E441">
        <v>90</v>
      </c>
      <c r="F441">
        <v>1</v>
      </c>
      <c r="G441">
        <v>90</v>
      </c>
      <c r="H441" t="s">
        <v>23</v>
      </c>
    </row>
    <row r="442" spans="1:8">
      <c r="A442" t="s">
        <v>511</v>
      </c>
      <c r="B442" s="1">
        <v>45749</v>
      </c>
      <c r="C442" t="s">
        <v>16</v>
      </c>
      <c r="D442" t="s">
        <v>40</v>
      </c>
      <c r="E442">
        <v>1200</v>
      </c>
      <c r="G442">
        <v>7200</v>
      </c>
      <c r="H442" t="s">
        <v>23</v>
      </c>
    </row>
    <row r="443" spans="1:8">
      <c r="A443" t="s">
        <v>512</v>
      </c>
      <c r="B443" s="1">
        <v>45876</v>
      </c>
      <c r="C443" t="s">
        <v>25</v>
      </c>
      <c r="D443" t="s">
        <v>114</v>
      </c>
      <c r="E443">
        <v>55</v>
      </c>
      <c r="F443">
        <v>4</v>
      </c>
      <c r="G443">
        <v>220</v>
      </c>
      <c r="H443" t="s">
        <v>28</v>
      </c>
    </row>
    <row r="444" spans="1:8">
      <c r="A444" t="s">
        <v>513</v>
      </c>
      <c r="B444" s="1">
        <v>45752</v>
      </c>
      <c r="C444" t="s">
        <v>13</v>
      </c>
      <c r="D444" t="s">
        <v>14</v>
      </c>
      <c r="E444">
        <v>2500</v>
      </c>
      <c r="F444">
        <v>5</v>
      </c>
      <c r="G444">
        <v>12500</v>
      </c>
      <c r="H444" t="s">
        <v>28</v>
      </c>
    </row>
    <row r="445" spans="1:8">
      <c r="A445" t="s">
        <v>514</v>
      </c>
      <c r="B445" s="1">
        <v>45860</v>
      </c>
      <c r="C445" t="s">
        <v>9</v>
      </c>
      <c r="D445" t="s">
        <v>120</v>
      </c>
      <c r="E445">
        <v>60</v>
      </c>
      <c r="F445">
        <v>1</v>
      </c>
      <c r="G445">
        <v>60</v>
      </c>
      <c r="H445" t="s">
        <v>11</v>
      </c>
    </row>
    <row r="446" spans="1:8">
      <c r="A446" t="s">
        <v>515</v>
      </c>
      <c r="B446" s="1">
        <v>45829</v>
      </c>
      <c r="C446" t="s">
        <v>35</v>
      </c>
      <c r="D446" t="s">
        <v>139</v>
      </c>
      <c r="E446">
        <v>180</v>
      </c>
      <c r="F446">
        <v>1</v>
      </c>
      <c r="G446">
        <v>270</v>
      </c>
      <c r="H446" t="s">
        <v>28</v>
      </c>
    </row>
    <row r="447" spans="1:8">
      <c r="A447" t="s">
        <v>516</v>
      </c>
      <c r="B447" s="1">
        <v>45843</v>
      </c>
      <c r="C447" t="s">
        <v>16</v>
      </c>
      <c r="D447" t="s">
        <v>257</v>
      </c>
      <c r="E447">
        <v>500</v>
      </c>
      <c r="F447">
        <v>3</v>
      </c>
      <c r="G447">
        <v>1500</v>
      </c>
      <c r="H447" t="s">
        <v>23</v>
      </c>
    </row>
    <row r="448" spans="1:8">
      <c r="A448" t="s">
        <v>517</v>
      </c>
      <c r="B448" s="1">
        <v>45674</v>
      </c>
      <c r="C448" t="s">
        <v>21</v>
      </c>
      <c r="D448" t="s">
        <v>44</v>
      </c>
      <c r="E448">
        <v>380</v>
      </c>
      <c r="F448">
        <v>6</v>
      </c>
      <c r="G448">
        <v>2280</v>
      </c>
      <c r="H448" t="s">
        <v>17</v>
      </c>
    </row>
    <row r="449" spans="1:8">
      <c r="A449" t="s">
        <v>518</v>
      </c>
      <c r="B449" s="1">
        <v>45774</v>
      </c>
      <c r="C449" t="s">
        <v>16</v>
      </c>
      <c r="D449" t="s">
        <v>40</v>
      </c>
      <c r="E449">
        <v>1200</v>
      </c>
      <c r="F449">
        <v>4</v>
      </c>
      <c r="G449">
        <v>4800</v>
      </c>
      <c r="H449" t="s">
        <v>23</v>
      </c>
    </row>
    <row r="450" spans="1:8">
      <c r="A450" t="s">
        <v>519</v>
      </c>
      <c r="B450" s="1">
        <v>45722</v>
      </c>
      <c r="C450" t="s">
        <v>30</v>
      </c>
      <c r="D450" t="s">
        <v>70</v>
      </c>
      <c r="E450">
        <v>900</v>
      </c>
      <c r="F450">
        <v>5</v>
      </c>
      <c r="G450">
        <v>4500</v>
      </c>
      <c r="H450" t="s">
        <v>17</v>
      </c>
    </row>
    <row r="451" spans="1:8">
      <c r="A451" t="s">
        <v>520</v>
      </c>
      <c r="B451" s="1">
        <v>45808</v>
      </c>
      <c r="C451" t="s">
        <v>13</v>
      </c>
      <c r="D451" t="s">
        <v>59</v>
      </c>
      <c r="E451">
        <v>350</v>
      </c>
      <c r="F451">
        <v>4</v>
      </c>
      <c r="G451">
        <v>2100</v>
      </c>
      <c r="H451" t="s">
        <v>17</v>
      </c>
    </row>
    <row r="452" spans="1:8">
      <c r="A452" t="s">
        <v>521</v>
      </c>
      <c r="B452" s="1">
        <v>45693</v>
      </c>
      <c r="C452" t="s">
        <v>52</v>
      </c>
      <c r="D452" t="s">
        <v>148</v>
      </c>
      <c r="E452">
        <v>55</v>
      </c>
      <c r="F452">
        <v>2</v>
      </c>
      <c r="H452" t="s">
        <v>28</v>
      </c>
    </row>
    <row r="453" spans="1:8">
      <c r="A453" t="s">
        <v>522</v>
      </c>
      <c r="B453" s="1">
        <v>45872</v>
      </c>
      <c r="C453" t="s">
        <v>21</v>
      </c>
      <c r="D453" t="s">
        <v>22</v>
      </c>
      <c r="E453">
        <v>220</v>
      </c>
      <c r="F453">
        <v>1</v>
      </c>
      <c r="G453">
        <v>220</v>
      </c>
      <c r="H453" t="s">
        <v>23</v>
      </c>
    </row>
    <row r="454" spans="1:8">
      <c r="A454" t="s">
        <v>523</v>
      </c>
      <c r="B454" s="1">
        <v>45750</v>
      </c>
      <c r="C454" t="s">
        <v>9</v>
      </c>
      <c r="D454" t="s">
        <v>120</v>
      </c>
      <c r="E454">
        <v>60</v>
      </c>
      <c r="F454">
        <v>5</v>
      </c>
      <c r="G454">
        <v>300</v>
      </c>
      <c r="H454" t="s">
        <v>28</v>
      </c>
    </row>
    <row r="455" spans="1:8">
      <c r="A455" t="s">
        <v>524</v>
      </c>
      <c r="B455" s="1">
        <v>45772</v>
      </c>
      <c r="C455" t="s">
        <v>21</v>
      </c>
      <c r="D455" t="s">
        <v>122</v>
      </c>
      <c r="E455">
        <v>190</v>
      </c>
      <c r="F455">
        <v>1</v>
      </c>
      <c r="G455">
        <v>190</v>
      </c>
      <c r="H455" t="s">
        <v>28</v>
      </c>
    </row>
    <row r="456" spans="1:8">
      <c r="A456" t="s">
        <v>525</v>
      </c>
      <c r="B456" s="1">
        <v>45662</v>
      </c>
      <c r="C456" t="s">
        <v>52</v>
      </c>
      <c r="D456" t="s">
        <v>53</v>
      </c>
      <c r="E456">
        <v>70</v>
      </c>
      <c r="F456">
        <v>4</v>
      </c>
      <c r="G456">
        <v>280</v>
      </c>
      <c r="H456" t="s">
        <v>17</v>
      </c>
    </row>
    <row r="457" spans="1:8">
      <c r="A457" t="s">
        <v>526</v>
      </c>
      <c r="B457" s="1">
        <v>45778</v>
      </c>
      <c r="C457" t="s">
        <v>527</v>
      </c>
      <c r="D457" t="s">
        <v>47</v>
      </c>
      <c r="E457">
        <v>800</v>
      </c>
      <c r="F457">
        <v>1</v>
      </c>
      <c r="G457">
        <v>800</v>
      </c>
      <c r="H457" t="s">
        <v>23</v>
      </c>
    </row>
    <row r="458" spans="1:8">
      <c r="A458" t="s">
        <v>528</v>
      </c>
      <c r="B458" s="1">
        <v>45802</v>
      </c>
      <c r="C458" t="s">
        <v>30</v>
      </c>
      <c r="D458" t="s">
        <v>49</v>
      </c>
      <c r="E458">
        <v>400</v>
      </c>
      <c r="F458">
        <v>1</v>
      </c>
      <c r="G458">
        <v>400</v>
      </c>
      <c r="H458" t="s">
        <v>11</v>
      </c>
    </row>
    <row r="459" spans="1:8">
      <c r="A459" t="s">
        <v>529</v>
      </c>
      <c r="B459" s="1">
        <v>45763</v>
      </c>
      <c r="C459" t="s">
        <v>21</v>
      </c>
      <c r="D459" t="s">
        <v>44</v>
      </c>
      <c r="E459">
        <v>380</v>
      </c>
      <c r="F459">
        <v>4</v>
      </c>
      <c r="G459">
        <v>1520</v>
      </c>
      <c r="H459" t="s">
        <v>28</v>
      </c>
    </row>
    <row r="460" spans="1:8">
      <c r="A460" t="s">
        <v>530</v>
      </c>
      <c r="B460" s="1">
        <v>45685</v>
      </c>
      <c r="C460" t="s">
        <v>30</v>
      </c>
      <c r="D460" t="s">
        <v>49</v>
      </c>
      <c r="E460">
        <v>400</v>
      </c>
      <c r="F460">
        <v>4</v>
      </c>
      <c r="G460">
        <v>1600</v>
      </c>
      <c r="H460" t="s">
        <v>28</v>
      </c>
    </row>
    <row r="461" spans="1:8">
      <c r="A461" t="s">
        <v>531</v>
      </c>
      <c r="B461" s="1">
        <v>45821</v>
      </c>
      <c r="C461" t="s">
        <v>16</v>
      </c>
      <c r="E461">
        <v>300</v>
      </c>
      <c r="F461">
        <v>2</v>
      </c>
      <c r="G461">
        <v>600</v>
      </c>
      <c r="H461" t="s">
        <v>11</v>
      </c>
    </row>
    <row r="462" spans="1:8">
      <c r="A462" t="s">
        <v>532</v>
      </c>
      <c r="B462" s="1">
        <v>45808</v>
      </c>
      <c r="C462" t="s">
        <v>13</v>
      </c>
      <c r="D462" t="s">
        <v>59</v>
      </c>
      <c r="E462">
        <v>350</v>
      </c>
      <c r="G462">
        <v>2100</v>
      </c>
      <c r="H462" t="s">
        <v>11</v>
      </c>
    </row>
    <row r="463" spans="1:8">
      <c r="A463" t="s">
        <v>533</v>
      </c>
      <c r="B463" s="1">
        <v>45664</v>
      </c>
      <c r="C463" t="s">
        <v>9</v>
      </c>
      <c r="D463" t="s">
        <v>19</v>
      </c>
      <c r="E463">
        <v>250</v>
      </c>
      <c r="F463">
        <v>4</v>
      </c>
      <c r="G463">
        <v>1000</v>
      </c>
      <c r="H463" t="s">
        <v>11</v>
      </c>
    </row>
    <row r="464" spans="1:8">
      <c r="A464" t="s">
        <v>534</v>
      </c>
      <c r="B464" s="1">
        <v>45688</v>
      </c>
      <c r="C464" t="s">
        <v>25</v>
      </c>
      <c r="D464" t="s">
        <v>98</v>
      </c>
      <c r="E464">
        <v>35</v>
      </c>
      <c r="F464">
        <v>2</v>
      </c>
      <c r="H464" t="s">
        <v>11</v>
      </c>
    </row>
    <row r="465" spans="1:8">
      <c r="A465" t="s">
        <v>535</v>
      </c>
      <c r="B465" s="1">
        <v>45786</v>
      </c>
      <c r="C465" t="s">
        <v>25</v>
      </c>
      <c r="D465" t="s">
        <v>26</v>
      </c>
      <c r="E465">
        <v>90</v>
      </c>
      <c r="F465">
        <v>4</v>
      </c>
      <c r="G465">
        <v>360</v>
      </c>
      <c r="H465" t="s">
        <v>28</v>
      </c>
    </row>
    <row r="466" spans="1:8">
      <c r="A466" t="s">
        <v>536</v>
      </c>
      <c r="B466" s="1">
        <v>45722</v>
      </c>
      <c r="C466" t="s">
        <v>25</v>
      </c>
      <c r="D466" t="s">
        <v>114</v>
      </c>
      <c r="E466">
        <v>55</v>
      </c>
      <c r="F466">
        <v>2</v>
      </c>
      <c r="G466">
        <v>110</v>
      </c>
      <c r="H466" t="s">
        <v>11</v>
      </c>
    </row>
    <row r="467" spans="1:8">
      <c r="A467" t="s">
        <v>537</v>
      </c>
      <c r="B467" s="1">
        <v>45735</v>
      </c>
      <c r="C467" t="s">
        <v>16</v>
      </c>
      <c r="D467" t="s">
        <v>40</v>
      </c>
      <c r="E467">
        <v>1200</v>
      </c>
      <c r="F467">
        <v>6</v>
      </c>
      <c r="G467">
        <v>7200</v>
      </c>
      <c r="H467" t="s">
        <v>17</v>
      </c>
    </row>
    <row r="468" spans="1:8">
      <c r="A468" t="s">
        <v>529</v>
      </c>
      <c r="B468" s="1">
        <v>45763</v>
      </c>
      <c r="C468" t="s">
        <v>21</v>
      </c>
      <c r="D468" t="s">
        <v>44</v>
      </c>
      <c r="E468">
        <v>380</v>
      </c>
      <c r="F468">
        <v>4</v>
      </c>
      <c r="G468">
        <v>1520</v>
      </c>
      <c r="H468" t="s">
        <v>28</v>
      </c>
    </row>
    <row r="469" spans="1:8">
      <c r="A469" t="s">
        <v>538</v>
      </c>
      <c r="B469" s="1">
        <v>45820</v>
      </c>
      <c r="C469" t="s">
        <v>16</v>
      </c>
      <c r="D469" t="s">
        <v>257</v>
      </c>
      <c r="E469">
        <v>500</v>
      </c>
      <c r="F469">
        <v>1</v>
      </c>
      <c r="G469">
        <v>500</v>
      </c>
      <c r="H469" t="s">
        <v>28</v>
      </c>
    </row>
    <row r="470" spans="1:8">
      <c r="A470" t="s">
        <v>539</v>
      </c>
      <c r="B470" s="1">
        <v>45875</v>
      </c>
      <c r="C470" t="s">
        <v>16</v>
      </c>
      <c r="D470" t="s">
        <v>257</v>
      </c>
      <c r="E470">
        <v>500</v>
      </c>
      <c r="F470">
        <v>5</v>
      </c>
      <c r="G470">
        <v>2500</v>
      </c>
      <c r="H470" t="s">
        <v>17</v>
      </c>
    </row>
    <row r="471" spans="1:8">
      <c r="A471" t="s">
        <v>97</v>
      </c>
      <c r="B471" s="1">
        <v>45729</v>
      </c>
      <c r="C471" t="s">
        <v>25</v>
      </c>
      <c r="D471" t="s">
        <v>98</v>
      </c>
      <c r="E471">
        <v>35</v>
      </c>
      <c r="F471">
        <v>3</v>
      </c>
      <c r="G471">
        <v>105</v>
      </c>
      <c r="H471" t="s">
        <v>23</v>
      </c>
    </row>
    <row r="472" spans="1:8">
      <c r="A472" t="s">
        <v>540</v>
      </c>
      <c r="B472" s="1">
        <v>45847</v>
      </c>
      <c r="C472" t="s">
        <v>52</v>
      </c>
      <c r="D472" t="s">
        <v>196</v>
      </c>
      <c r="E472">
        <v>65</v>
      </c>
      <c r="G472">
        <v>65</v>
      </c>
      <c r="H472" t="s">
        <v>23</v>
      </c>
    </row>
    <row r="473" spans="1:8">
      <c r="A473" t="s">
        <v>541</v>
      </c>
      <c r="B473" s="1">
        <v>45880</v>
      </c>
      <c r="C473" t="s">
        <v>25</v>
      </c>
      <c r="D473" t="s">
        <v>26</v>
      </c>
      <c r="E473">
        <v>90</v>
      </c>
      <c r="F473">
        <v>6</v>
      </c>
      <c r="G473">
        <v>540</v>
      </c>
      <c r="H473" t="s">
        <v>23</v>
      </c>
    </row>
    <row r="474" spans="1:8">
      <c r="A474" t="s">
        <v>542</v>
      </c>
      <c r="B474" s="1">
        <v>45684</v>
      </c>
      <c r="C474" t="s">
        <v>35</v>
      </c>
      <c r="D474" t="s">
        <v>36</v>
      </c>
      <c r="E474">
        <v>90</v>
      </c>
      <c r="F474">
        <v>5</v>
      </c>
      <c r="G474">
        <v>675</v>
      </c>
      <c r="H474" t="s">
        <v>11</v>
      </c>
    </row>
    <row r="475" spans="1:8">
      <c r="A475" t="s">
        <v>543</v>
      </c>
      <c r="B475" s="1">
        <v>45879</v>
      </c>
      <c r="C475" t="s">
        <v>52</v>
      </c>
      <c r="D475" t="s">
        <v>67</v>
      </c>
      <c r="E475">
        <v>120</v>
      </c>
      <c r="F475">
        <v>2</v>
      </c>
      <c r="G475">
        <v>240</v>
      </c>
      <c r="H475" t="s">
        <v>11</v>
      </c>
    </row>
    <row r="476" spans="1:8">
      <c r="A476" t="s">
        <v>544</v>
      </c>
      <c r="B476" s="1">
        <v>45734</v>
      </c>
      <c r="C476" t="s">
        <v>25</v>
      </c>
      <c r="D476" t="s">
        <v>42</v>
      </c>
      <c r="E476">
        <v>30</v>
      </c>
      <c r="F476">
        <v>5</v>
      </c>
      <c r="G476">
        <v>150</v>
      </c>
      <c r="H476" t="s">
        <v>11</v>
      </c>
    </row>
    <row r="477" spans="1:8">
      <c r="A477" t="s">
        <v>545</v>
      </c>
      <c r="B477" s="1">
        <v>45829</v>
      </c>
      <c r="C477" t="s">
        <v>30</v>
      </c>
      <c r="D477" t="s">
        <v>38</v>
      </c>
      <c r="E477">
        <v>150</v>
      </c>
      <c r="F477">
        <v>2</v>
      </c>
      <c r="G477">
        <v>300</v>
      </c>
      <c r="H477" t="s">
        <v>23</v>
      </c>
    </row>
    <row r="478" spans="1:8">
      <c r="A478" t="s">
        <v>546</v>
      </c>
      <c r="B478" s="1">
        <v>45775</v>
      </c>
      <c r="C478" t="s">
        <v>35</v>
      </c>
      <c r="D478" t="s">
        <v>104</v>
      </c>
      <c r="E478">
        <v>20</v>
      </c>
      <c r="F478">
        <v>6</v>
      </c>
      <c r="G478">
        <v>120</v>
      </c>
      <c r="H478" t="s">
        <v>17</v>
      </c>
    </row>
    <row r="479" spans="1:8">
      <c r="A479" t="s">
        <v>547</v>
      </c>
      <c r="B479" s="1">
        <v>45751</v>
      </c>
      <c r="C479" t="s">
        <v>30</v>
      </c>
      <c r="D479" t="s">
        <v>38</v>
      </c>
      <c r="E479">
        <v>150</v>
      </c>
      <c r="F479">
        <v>5</v>
      </c>
      <c r="G479">
        <v>750</v>
      </c>
      <c r="H479" t="s">
        <v>17</v>
      </c>
    </row>
    <row r="480" spans="1:8">
      <c r="A480" t="s">
        <v>548</v>
      </c>
      <c r="B480" s="1">
        <v>45807</v>
      </c>
      <c r="C480" t="s">
        <v>52</v>
      </c>
      <c r="D480" t="s">
        <v>196</v>
      </c>
      <c r="E480">
        <v>65</v>
      </c>
      <c r="F480">
        <v>4</v>
      </c>
      <c r="G480">
        <v>260</v>
      </c>
      <c r="H480" t="s">
        <v>23</v>
      </c>
    </row>
    <row r="481" spans="1:8">
      <c r="A481" t="s">
        <v>549</v>
      </c>
      <c r="B481" s="1">
        <v>45821</v>
      </c>
      <c r="C481" t="s">
        <v>30</v>
      </c>
      <c r="D481" t="s">
        <v>49</v>
      </c>
      <c r="E481">
        <v>400</v>
      </c>
      <c r="F481">
        <v>5</v>
      </c>
      <c r="G481">
        <v>2000</v>
      </c>
      <c r="H481" t="s">
        <v>17</v>
      </c>
    </row>
    <row r="482" spans="1:8">
      <c r="A482" t="s">
        <v>550</v>
      </c>
      <c r="B482" s="1">
        <v>45801</v>
      </c>
      <c r="C482" t="s">
        <v>52</v>
      </c>
      <c r="D482" t="s">
        <v>53</v>
      </c>
      <c r="E482">
        <v>70</v>
      </c>
      <c r="F482">
        <v>3</v>
      </c>
      <c r="G482">
        <v>210</v>
      </c>
      <c r="H482" t="s">
        <v>28</v>
      </c>
    </row>
    <row r="483" spans="1:8">
      <c r="A483" t="s">
        <v>551</v>
      </c>
      <c r="B483" s="1">
        <v>45766</v>
      </c>
      <c r="C483" t="s">
        <v>30</v>
      </c>
      <c r="D483" t="s">
        <v>78</v>
      </c>
      <c r="E483">
        <v>90</v>
      </c>
      <c r="F483">
        <v>2</v>
      </c>
      <c r="H483" t="s">
        <v>11</v>
      </c>
    </row>
    <row r="484" spans="1:8">
      <c r="A484" t="s">
        <v>552</v>
      </c>
      <c r="B484" s="1">
        <v>45784</v>
      </c>
      <c r="C484" t="s">
        <v>52</v>
      </c>
      <c r="D484" t="s">
        <v>94</v>
      </c>
      <c r="E484">
        <v>150</v>
      </c>
      <c r="F484">
        <v>5</v>
      </c>
      <c r="G484">
        <v>750</v>
      </c>
      <c r="H484" t="s">
        <v>17</v>
      </c>
    </row>
    <row r="485" spans="1:8">
      <c r="A485" t="s">
        <v>553</v>
      </c>
      <c r="B485" s="1">
        <v>45818</v>
      </c>
      <c r="C485" t="s">
        <v>52</v>
      </c>
      <c r="D485" t="s">
        <v>196</v>
      </c>
      <c r="E485">
        <v>65</v>
      </c>
      <c r="F485">
        <v>2</v>
      </c>
      <c r="G485">
        <v>130</v>
      </c>
      <c r="H485" t="s">
        <v>11</v>
      </c>
    </row>
    <row r="486" spans="1:8">
      <c r="A486" t="s">
        <v>554</v>
      </c>
      <c r="B486" s="1">
        <v>45777</v>
      </c>
      <c r="C486" t="s">
        <v>35</v>
      </c>
      <c r="D486" t="s">
        <v>36</v>
      </c>
      <c r="F486">
        <v>4</v>
      </c>
      <c r="G486">
        <v>360</v>
      </c>
      <c r="H486" t="s">
        <v>23</v>
      </c>
    </row>
    <row r="487" spans="1:8">
      <c r="A487" t="s">
        <v>555</v>
      </c>
      <c r="B487" s="1">
        <v>45748</v>
      </c>
      <c r="C487" t="s">
        <v>35</v>
      </c>
      <c r="D487" t="s">
        <v>100</v>
      </c>
      <c r="E487">
        <v>60</v>
      </c>
      <c r="F487">
        <v>5</v>
      </c>
      <c r="G487">
        <v>300</v>
      </c>
      <c r="H487" t="s">
        <v>11</v>
      </c>
    </row>
    <row r="488" spans="1:8">
      <c r="A488" t="s">
        <v>556</v>
      </c>
      <c r="B488" s="1">
        <v>45730</v>
      </c>
      <c r="C488" t="s">
        <v>52</v>
      </c>
      <c r="D488" t="s">
        <v>148</v>
      </c>
      <c r="E488">
        <v>55</v>
      </c>
      <c r="F488">
        <v>3</v>
      </c>
      <c r="G488">
        <v>165</v>
      </c>
      <c r="H488" t="s">
        <v>28</v>
      </c>
    </row>
    <row r="489" spans="1:8">
      <c r="A489" t="s">
        <v>557</v>
      </c>
      <c r="B489" s="1">
        <v>45823</v>
      </c>
      <c r="C489" t="s">
        <v>16</v>
      </c>
      <c r="D489" t="s">
        <v>40</v>
      </c>
      <c r="E489">
        <v>1200</v>
      </c>
      <c r="F489">
        <v>2</v>
      </c>
      <c r="G489">
        <v>2400</v>
      </c>
      <c r="H489" t="s">
        <v>11</v>
      </c>
    </row>
    <row r="490" spans="1:8">
      <c r="A490" t="s">
        <v>558</v>
      </c>
      <c r="B490" s="1">
        <v>45774</v>
      </c>
      <c r="C490" t="s">
        <v>30</v>
      </c>
      <c r="D490" t="s">
        <v>38</v>
      </c>
      <c r="E490">
        <v>150</v>
      </c>
      <c r="F490">
        <v>3</v>
      </c>
      <c r="G490">
        <v>450</v>
      </c>
      <c r="H490" t="s">
        <v>17</v>
      </c>
    </row>
    <row r="491" spans="1:8">
      <c r="A491" t="s">
        <v>559</v>
      </c>
      <c r="B491" s="1">
        <v>45689</v>
      </c>
      <c r="C491" t="s">
        <v>25</v>
      </c>
      <c r="E491">
        <v>30</v>
      </c>
      <c r="F491">
        <v>2</v>
      </c>
      <c r="G491">
        <v>60</v>
      </c>
      <c r="H491" t="s">
        <v>28</v>
      </c>
    </row>
    <row r="492" spans="1:8">
      <c r="A492" t="s">
        <v>560</v>
      </c>
      <c r="B492" s="1">
        <v>45754</v>
      </c>
      <c r="C492" t="s">
        <v>16</v>
      </c>
      <c r="D492" t="s">
        <v>257</v>
      </c>
      <c r="E492">
        <v>500</v>
      </c>
      <c r="F492">
        <v>5</v>
      </c>
      <c r="G492">
        <v>2500</v>
      </c>
      <c r="H492" t="s">
        <v>23</v>
      </c>
    </row>
    <row r="493" spans="1:8">
      <c r="A493" t="s">
        <v>561</v>
      </c>
      <c r="B493" s="1">
        <v>45792</v>
      </c>
      <c r="C493" t="s">
        <v>13</v>
      </c>
      <c r="E493">
        <v>700</v>
      </c>
      <c r="F493">
        <v>4</v>
      </c>
      <c r="G493">
        <v>2800</v>
      </c>
      <c r="H493" t="s">
        <v>23</v>
      </c>
    </row>
    <row r="494" spans="1:8">
      <c r="A494" t="s">
        <v>562</v>
      </c>
      <c r="B494" s="1">
        <v>45752</v>
      </c>
      <c r="C494" t="s">
        <v>35</v>
      </c>
      <c r="D494" t="s">
        <v>36</v>
      </c>
      <c r="F494">
        <v>2</v>
      </c>
      <c r="G494">
        <v>180</v>
      </c>
      <c r="H494" t="s">
        <v>23</v>
      </c>
    </row>
    <row r="495" spans="1:8">
      <c r="A495" t="s">
        <v>563</v>
      </c>
      <c r="B495" s="1">
        <v>45875</v>
      </c>
      <c r="C495" t="s">
        <v>52</v>
      </c>
      <c r="D495" t="s">
        <v>196</v>
      </c>
      <c r="E495">
        <v>65</v>
      </c>
      <c r="F495">
        <v>1</v>
      </c>
      <c r="G495">
        <v>65</v>
      </c>
      <c r="H495" t="s">
        <v>23</v>
      </c>
    </row>
    <row r="496" spans="1:8">
      <c r="A496" t="s">
        <v>564</v>
      </c>
      <c r="B496" s="1">
        <v>45747</v>
      </c>
      <c r="C496" t="s">
        <v>25</v>
      </c>
      <c r="D496" t="s">
        <v>114</v>
      </c>
      <c r="F496">
        <v>3</v>
      </c>
      <c r="G496">
        <v>165</v>
      </c>
      <c r="H496" t="s">
        <v>17</v>
      </c>
    </row>
    <row r="497" spans="1:8">
      <c r="A497" t="s">
        <v>565</v>
      </c>
      <c r="B497" s="1">
        <v>45716</v>
      </c>
      <c r="C497" t="s">
        <v>30</v>
      </c>
      <c r="D497" t="s">
        <v>78</v>
      </c>
      <c r="E497">
        <v>90</v>
      </c>
      <c r="F497">
        <v>4</v>
      </c>
      <c r="G497">
        <v>360</v>
      </c>
      <c r="H497" t="s">
        <v>23</v>
      </c>
    </row>
    <row r="498" spans="1:8">
      <c r="A498" t="s">
        <v>566</v>
      </c>
      <c r="B498" s="1">
        <v>45731</v>
      </c>
      <c r="C498" t="s">
        <v>25</v>
      </c>
      <c r="D498" t="s">
        <v>42</v>
      </c>
      <c r="E498">
        <v>30</v>
      </c>
      <c r="F498">
        <v>5</v>
      </c>
      <c r="G498">
        <v>150</v>
      </c>
      <c r="H498" t="s">
        <v>17</v>
      </c>
    </row>
    <row r="499" spans="1:8">
      <c r="A499" t="s">
        <v>567</v>
      </c>
      <c r="B499" s="1">
        <v>45826</v>
      </c>
      <c r="C499" t="s">
        <v>13</v>
      </c>
      <c r="E499">
        <v>350</v>
      </c>
      <c r="F499">
        <v>4</v>
      </c>
      <c r="G499">
        <v>1400</v>
      </c>
      <c r="H499" t="s">
        <v>28</v>
      </c>
    </row>
    <row r="500" spans="1:8">
      <c r="A500" t="s">
        <v>431</v>
      </c>
      <c r="B500" s="1">
        <v>45800</v>
      </c>
      <c r="C500" t="s">
        <v>25</v>
      </c>
      <c r="D500" t="s">
        <v>124</v>
      </c>
      <c r="E500">
        <v>40</v>
      </c>
      <c r="F500">
        <v>1</v>
      </c>
      <c r="G500">
        <v>40</v>
      </c>
      <c r="H500" t="s">
        <v>28</v>
      </c>
    </row>
    <row r="501" spans="1:8">
      <c r="A501" t="s">
        <v>150</v>
      </c>
      <c r="B501" s="1">
        <v>45811</v>
      </c>
      <c r="C501" t="s">
        <v>25</v>
      </c>
      <c r="D501" t="s">
        <v>114</v>
      </c>
      <c r="E501">
        <v>55</v>
      </c>
      <c r="F501">
        <v>6</v>
      </c>
      <c r="G501">
        <v>330</v>
      </c>
      <c r="H501" t="s">
        <v>17</v>
      </c>
    </row>
    <row r="502" spans="1:8">
      <c r="A502" t="s">
        <v>568</v>
      </c>
      <c r="B502" s="1">
        <v>45678</v>
      </c>
      <c r="C502" t="s">
        <v>25</v>
      </c>
      <c r="D502" t="s">
        <v>42</v>
      </c>
      <c r="E502">
        <v>30</v>
      </c>
      <c r="F502">
        <v>4</v>
      </c>
      <c r="G502">
        <v>120</v>
      </c>
      <c r="H502" t="s">
        <v>23</v>
      </c>
    </row>
    <row r="503" spans="1:8">
      <c r="A503" t="s">
        <v>386</v>
      </c>
      <c r="B503" s="1">
        <v>45692</v>
      </c>
      <c r="C503" t="s">
        <v>52</v>
      </c>
      <c r="D503" t="s">
        <v>196</v>
      </c>
      <c r="E503">
        <v>65</v>
      </c>
      <c r="F503">
        <v>4</v>
      </c>
      <c r="G503">
        <v>260</v>
      </c>
      <c r="H503" t="s">
        <v>28</v>
      </c>
    </row>
    <row r="504" spans="1:8">
      <c r="A504" t="s">
        <v>569</v>
      </c>
      <c r="B504" s="1">
        <v>45708</v>
      </c>
      <c r="C504" t="s">
        <v>21</v>
      </c>
      <c r="D504" t="s">
        <v>92</v>
      </c>
      <c r="E504">
        <v>75</v>
      </c>
      <c r="F504">
        <v>2</v>
      </c>
      <c r="G504">
        <v>150</v>
      </c>
      <c r="H504" t="s">
        <v>28</v>
      </c>
    </row>
    <row r="505" spans="1:8">
      <c r="A505" t="s">
        <v>570</v>
      </c>
      <c r="B505" s="1">
        <v>45723</v>
      </c>
      <c r="C505" t="s">
        <v>25</v>
      </c>
      <c r="D505" t="s">
        <v>98</v>
      </c>
      <c r="E505">
        <v>35</v>
      </c>
      <c r="F505">
        <v>4</v>
      </c>
      <c r="G505">
        <v>140</v>
      </c>
      <c r="H505" t="s">
        <v>17</v>
      </c>
    </row>
    <row r="506" spans="1:8">
      <c r="A506" t="s">
        <v>571</v>
      </c>
      <c r="B506" s="1">
        <v>45735</v>
      </c>
      <c r="C506" t="s">
        <v>21</v>
      </c>
      <c r="D506" t="s">
        <v>22</v>
      </c>
      <c r="E506">
        <v>220</v>
      </c>
      <c r="F506">
        <v>2</v>
      </c>
      <c r="G506">
        <v>440</v>
      </c>
      <c r="H506" t="s">
        <v>11</v>
      </c>
    </row>
    <row r="507" spans="1:8">
      <c r="A507" t="s">
        <v>572</v>
      </c>
      <c r="B507" s="1">
        <v>45724</v>
      </c>
      <c r="C507" t="s">
        <v>16</v>
      </c>
      <c r="D507" t="s">
        <v>257</v>
      </c>
      <c r="E507">
        <v>500</v>
      </c>
      <c r="F507">
        <v>4</v>
      </c>
      <c r="G507">
        <v>2000</v>
      </c>
      <c r="H507" t="s">
        <v>11</v>
      </c>
    </row>
    <row r="508" spans="1:8">
      <c r="A508" t="s">
        <v>573</v>
      </c>
      <c r="B508" s="1">
        <v>45756</v>
      </c>
      <c r="C508" t="s">
        <v>25</v>
      </c>
      <c r="D508" t="s">
        <v>124</v>
      </c>
      <c r="E508">
        <v>40</v>
      </c>
      <c r="F508">
        <v>5</v>
      </c>
      <c r="G508">
        <v>200</v>
      </c>
      <c r="H508" t="s">
        <v>11</v>
      </c>
    </row>
    <row r="509" spans="1:8">
      <c r="A509" t="s">
        <v>574</v>
      </c>
      <c r="B509" s="1">
        <v>45843</v>
      </c>
      <c r="C509" t="s">
        <v>52</v>
      </c>
      <c r="D509" t="s">
        <v>94</v>
      </c>
      <c r="E509">
        <v>150</v>
      </c>
      <c r="F509">
        <v>6</v>
      </c>
      <c r="G509">
        <v>900</v>
      </c>
      <c r="H509" t="s">
        <v>17</v>
      </c>
    </row>
    <row r="510" spans="1:8">
      <c r="A510" t="s">
        <v>575</v>
      </c>
      <c r="B510" s="1">
        <v>45789</v>
      </c>
      <c r="C510" t="s">
        <v>52</v>
      </c>
      <c r="D510" t="s">
        <v>94</v>
      </c>
      <c r="E510">
        <v>150</v>
      </c>
      <c r="F510">
        <v>3</v>
      </c>
      <c r="H510" t="s">
        <v>17</v>
      </c>
    </row>
    <row r="511" spans="1:8">
      <c r="A511" t="s">
        <v>576</v>
      </c>
      <c r="B511" s="1">
        <v>45857</v>
      </c>
      <c r="C511" t="s">
        <v>9</v>
      </c>
      <c r="D511" t="s">
        <v>10</v>
      </c>
      <c r="E511">
        <v>110</v>
      </c>
      <c r="F511">
        <v>5</v>
      </c>
      <c r="G511">
        <v>550</v>
      </c>
      <c r="H511" t="s">
        <v>17</v>
      </c>
    </row>
    <row r="512" spans="1:8">
      <c r="A512" t="s">
        <v>577</v>
      </c>
      <c r="B512" s="1">
        <v>45832</v>
      </c>
      <c r="C512" t="s">
        <v>16</v>
      </c>
      <c r="D512" t="s">
        <v>40</v>
      </c>
      <c r="E512">
        <v>1200</v>
      </c>
      <c r="F512">
        <v>2</v>
      </c>
      <c r="G512">
        <v>2400</v>
      </c>
      <c r="H512" t="s">
        <v>17</v>
      </c>
    </row>
    <row r="513" spans="1:8">
      <c r="A513" t="s">
        <v>578</v>
      </c>
      <c r="B513" s="1">
        <v>45812</v>
      </c>
      <c r="C513" t="s">
        <v>52</v>
      </c>
      <c r="D513" t="s">
        <v>53</v>
      </c>
      <c r="E513">
        <v>70</v>
      </c>
      <c r="F513">
        <v>4</v>
      </c>
      <c r="G513">
        <v>280</v>
      </c>
      <c r="H513" t="s">
        <v>11</v>
      </c>
    </row>
    <row r="514" spans="1:8">
      <c r="A514" t="s">
        <v>579</v>
      </c>
      <c r="B514" s="1">
        <v>45692</v>
      </c>
      <c r="C514" t="s">
        <v>9</v>
      </c>
      <c r="D514" t="s">
        <v>82</v>
      </c>
      <c r="F514">
        <v>2</v>
      </c>
      <c r="G514">
        <v>700</v>
      </c>
      <c r="H514" t="s">
        <v>28</v>
      </c>
    </row>
    <row r="515" spans="1:8">
      <c r="A515" t="s">
        <v>580</v>
      </c>
      <c r="B515" s="1">
        <v>45673</v>
      </c>
      <c r="C515" t="s">
        <v>16</v>
      </c>
      <c r="D515" t="s">
        <v>40</v>
      </c>
      <c r="E515">
        <v>1200</v>
      </c>
      <c r="F515">
        <v>6</v>
      </c>
      <c r="G515">
        <v>7200</v>
      </c>
      <c r="H515" t="s">
        <v>17</v>
      </c>
    </row>
    <row r="516" spans="1:8">
      <c r="A516" t="s">
        <v>581</v>
      </c>
      <c r="B516" s="1">
        <v>45681</v>
      </c>
      <c r="C516" t="s">
        <v>35</v>
      </c>
      <c r="D516" t="s">
        <v>104</v>
      </c>
      <c r="E516">
        <v>20</v>
      </c>
      <c r="G516">
        <v>20</v>
      </c>
      <c r="H516" t="s">
        <v>11</v>
      </c>
    </row>
    <row r="517" spans="1:8">
      <c r="A517" t="s">
        <v>582</v>
      </c>
      <c r="B517" s="1">
        <v>45730</v>
      </c>
      <c r="C517" t="s">
        <v>16</v>
      </c>
      <c r="D517" t="s">
        <v>102</v>
      </c>
      <c r="E517">
        <v>300</v>
      </c>
      <c r="F517">
        <v>1</v>
      </c>
      <c r="G517">
        <v>300</v>
      </c>
      <c r="H517" t="s">
        <v>17</v>
      </c>
    </row>
    <row r="518" spans="1:8">
      <c r="A518" t="s">
        <v>583</v>
      </c>
      <c r="B518" s="1">
        <v>45739</v>
      </c>
      <c r="C518" t="s">
        <v>404</v>
      </c>
      <c r="D518" t="s">
        <v>122</v>
      </c>
      <c r="E518">
        <v>190</v>
      </c>
      <c r="F518">
        <v>5</v>
      </c>
      <c r="G518">
        <v>950</v>
      </c>
      <c r="H518" t="s">
        <v>28</v>
      </c>
    </row>
    <row r="519" spans="1:8">
      <c r="A519" t="s">
        <v>584</v>
      </c>
      <c r="B519" s="1">
        <v>45735</v>
      </c>
      <c r="C519" t="s">
        <v>25</v>
      </c>
      <c r="D519" t="s">
        <v>42</v>
      </c>
      <c r="E519">
        <v>30</v>
      </c>
      <c r="G519">
        <v>90</v>
      </c>
      <c r="H519" t="s">
        <v>17</v>
      </c>
    </row>
    <row r="520" spans="1:8">
      <c r="A520" t="s">
        <v>585</v>
      </c>
      <c r="B520" s="1">
        <v>45664</v>
      </c>
      <c r="C520" t="s">
        <v>25</v>
      </c>
      <c r="D520" t="s">
        <v>124</v>
      </c>
      <c r="E520">
        <v>40</v>
      </c>
      <c r="F520">
        <v>1</v>
      </c>
      <c r="G520">
        <v>40</v>
      </c>
      <c r="H520" t="s">
        <v>11</v>
      </c>
    </row>
    <row r="521" spans="1:8">
      <c r="A521" t="s">
        <v>586</v>
      </c>
      <c r="B521" s="1">
        <v>45810</v>
      </c>
      <c r="C521" t="s">
        <v>21</v>
      </c>
      <c r="D521" t="s">
        <v>22</v>
      </c>
      <c r="E521">
        <v>220</v>
      </c>
      <c r="F521">
        <v>5</v>
      </c>
      <c r="G521">
        <v>1100</v>
      </c>
      <c r="H521" t="s">
        <v>17</v>
      </c>
    </row>
    <row r="522" spans="1:8">
      <c r="A522" t="s">
        <v>587</v>
      </c>
      <c r="B522" s="1">
        <v>45777</v>
      </c>
      <c r="C522" t="s">
        <v>16</v>
      </c>
      <c r="D522" t="s">
        <v>47</v>
      </c>
      <c r="E522">
        <v>800</v>
      </c>
      <c r="F522">
        <v>5</v>
      </c>
      <c r="G522">
        <v>4000</v>
      </c>
      <c r="H522" t="s">
        <v>28</v>
      </c>
    </row>
    <row r="523" spans="1:8">
      <c r="A523" t="s">
        <v>588</v>
      </c>
      <c r="B523" s="1">
        <v>45828</v>
      </c>
      <c r="C523" t="s">
        <v>9</v>
      </c>
      <c r="D523" t="s">
        <v>120</v>
      </c>
      <c r="E523">
        <v>60</v>
      </c>
      <c r="F523">
        <v>4</v>
      </c>
      <c r="G523">
        <v>240</v>
      </c>
      <c r="H523" t="s">
        <v>28</v>
      </c>
    </row>
    <row r="524" spans="1:8">
      <c r="A524" t="s">
        <v>589</v>
      </c>
      <c r="B524" s="1">
        <v>45690</v>
      </c>
      <c r="C524" t="s">
        <v>52</v>
      </c>
      <c r="D524" t="s">
        <v>67</v>
      </c>
      <c r="E524">
        <v>120</v>
      </c>
      <c r="F524">
        <v>4</v>
      </c>
      <c r="H524" t="s">
        <v>17</v>
      </c>
    </row>
    <row r="525" spans="1:8">
      <c r="A525" t="s">
        <v>590</v>
      </c>
      <c r="B525" s="1">
        <v>45789</v>
      </c>
      <c r="C525" t="s">
        <v>30</v>
      </c>
      <c r="E525">
        <v>150</v>
      </c>
      <c r="F525">
        <v>4</v>
      </c>
      <c r="G525">
        <v>600</v>
      </c>
      <c r="H525" t="s">
        <v>23</v>
      </c>
    </row>
    <row r="526" spans="1:8">
      <c r="A526" t="s">
        <v>591</v>
      </c>
      <c r="B526" s="1">
        <v>45788</v>
      </c>
      <c r="C526" t="s">
        <v>9</v>
      </c>
      <c r="D526" t="s">
        <v>19</v>
      </c>
      <c r="F526">
        <v>3</v>
      </c>
      <c r="G526">
        <v>750</v>
      </c>
      <c r="H526" t="s">
        <v>11</v>
      </c>
    </row>
    <row r="527" spans="1:8">
      <c r="A527" t="s">
        <v>592</v>
      </c>
      <c r="B527" s="1">
        <v>45696</v>
      </c>
      <c r="C527" t="s">
        <v>16</v>
      </c>
      <c r="D527" t="s">
        <v>102</v>
      </c>
      <c r="E527">
        <v>300</v>
      </c>
      <c r="F527">
        <v>4</v>
      </c>
      <c r="H527" t="s">
        <v>11</v>
      </c>
    </row>
    <row r="528" spans="1:8">
      <c r="A528" t="s">
        <v>593</v>
      </c>
      <c r="B528" s="1">
        <v>45805</v>
      </c>
      <c r="C528" t="s">
        <v>21</v>
      </c>
      <c r="D528" t="s">
        <v>44</v>
      </c>
      <c r="F528">
        <v>1</v>
      </c>
      <c r="G528">
        <v>380</v>
      </c>
      <c r="H528" t="s">
        <v>11</v>
      </c>
    </row>
    <row r="529" spans="1:8">
      <c r="A529" t="s">
        <v>594</v>
      </c>
      <c r="B529" s="1">
        <v>45814</v>
      </c>
      <c r="C529" t="s">
        <v>30</v>
      </c>
      <c r="D529" t="s">
        <v>70</v>
      </c>
      <c r="E529">
        <v>900</v>
      </c>
      <c r="F529">
        <v>5</v>
      </c>
      <c r="H529" t="s">
        <v>28</v>
      </c>
    </row>
    <row r="530" spans="1:8">
      <c r="A530" t="s">
        <v>595</v>
      </c>
      <c r="B530" s="1">
        <v>45877</v>
      </c>
      <c r="C530" t="s">
        <v>9</v>
      </c>
      <c r="D530" t="s">
        <v>82</v>
      </c>
      <c r="E530">
        <v>350</v>
      </c>
      <c r="F530">
        <v>3</v>
      </c>
      <c r="G530">
        <v>1050</v>
      </c>
      <c r="H530" t="s">
        <v>11</v>
      </c>
    </row>
    <row r="531" spans="1:8">
      <c r="A531" t="s">
        <v>596</v>
      </c>
      <c r="B531" s="1">
        <v>45822</v>
      </c>
      <c r="C531" t="s">
        <v>16</v>
      </c>
      <c r="D531" t="s">
        <v>40</v>
      </c>
      <c r="E531">
        <v>1200</v>
      </c>
      <c r="F531">
        <v>3</v>
      </c>
      <c r="G531">
        <v>3600</v>
      </c>
      <c r="H531" t="s">
        <v>23</v>
      </c>
    </row>
    <row r="532" spans="1:8">
      <c r="A532" t="s">
        <v>597</v>
      </c>
      <c r="B532" s="1">
        <v>45754</v>
      </c>
      <c r="C532" t="s">
        <v>25</v>
      </c>
      <c r="D532" t="s">
        <v>124</v>
      </c>
      <c r="E532">
        <v>40</v>
      </c>
      <c r="F532">
        <v>3</v>
      </c>
      <c r="G532">
        <v>120</v>
      </c>
      <c r="H532" t="s">
        <v>23</v>
      </c>
    </row>
    <row r="533" spans="1:8">
      <c r="A533" t="s">
        <v>598</v>
      </c>
      <c r="B533" s="1">
        <v>45850</v>
      </c>
      <c r="C533" t="s">
        <v>13</v>
      </c>
      <c r="D533" t="s">
        <v>59</v>
      </c>
      <c r="E533">
        <v>350</v>
      </c>
      <c r="G533">
        <v>1050</v>
      </c>
      <c r="H533" t="s">
        <v>28</v>
      </c>
    </row>
    <row r="534" spans="1:8">
      <c r="A534" t="s">
        <v>599</v>
      </c>
      <c r="B534" s="1">
        <v>45852</v>
      </c>
      <c r="C534" t="s">
        <v>16</v>
      </c>
      <c r="D534" t="s">
        <v>47</v>
      </c>
      <c r="E534">
        <v>800</v>
      </c>
      <c r="F534">
        <v>5</v>
      </c>
      <c r="G534">
        <v>4000</v>
      </c>
      <c r="H534" t="s">
        <v>11</v>
      </c>
    </row>
    <row r="535" spans="1:8">
      <c r="A535" t="s">
        <v>600</v>
      </c>
      <c r="B535" s="1">
        <v>45661</v>
      </c>
      <c r="C535" t="s">
        <v>35</v>
      </c>
      <c r="D535" t="s">
        <v>87</v>
      </c>
      <c r="E535">
        <v>45</v>
      </c>
      <c r="F535">
        <v>2</v>
      </c>
      <c r="G535">
        <v>90</v>
      </c>
      <c r="H535" t="s">
        <v>23</v>
      </c>
    </row>
    <row r="536" spans="1:8">
      <c r="A536" t="s">
        <v>601</v>
      </c>
      <c r="B536" s="1">
        <v>45890</v>
      </c>
      <c r="C536" t="s">
        <v>290</v>
      </c>
      <c r="D536" t="s">
        <v>72</v>
      </c>
      <c r="E536">
        <v>3200</v>
      </c>
      <c r="F536">
        <v>6</v>
      </c>
      <c r="G536">
        <v>19200</v>
      </c>
      <c r="H536" t="s">
        <v>28</v>
      </c>
    </row>
    <row r="537" spans="1:8">
      <c r="A537" t="s">
        <v>602</v>
      </c>
      <c r="B537" s="1">
        <v>45824</v>
      </c>
      <c r="C537" t="s">
        <v>21</v>
      </c>
      <c r="D537" t="s">
        <v>44</v>
      </c>
      <c r="E537">
        <v>380</v>
      </c>
      <c r="F537">
        <v>2</v>
      </c>
      <c r="G537">
        <v>760</v>
      </c>
      <c r="H537" t="s">
        <v>17</v>
      </c>
    </row>
    <row r="538" spans="1:8">
      <c r="A538" t="s">
        <v>603</v>
      </c>
      <c r="B538" s="1">
        <v>45698</v>
      </c>
      <c r="C538" t="s">
        <v>30</v>
      </c>
      <c r="D538" t="s">
        <v>70</v>
      </c>
      <c r="E538">
        <v>900</v>
      </c>
      <c r="F538">
        <v>3</v>
      </c>
      <c r="H538" t="s">
        <v>23</v>
      </c>
    </row>
    <row r="539" spans="1:8">
      <c r="A539" t="s">
        <v>604</v>
      </c>
      <c r="B539" s="1">
        <v>45720</v>
      </c>
      <c r="C539" t="s">
        <v>9</v>
      </c>
      <c r="D539" t="s">
        <v>10</v>
      </c>
      <c r="E539">
        <v>110</v>
      </c>
      <c r="F539">
        <v>6</v>
      </c>
      <c r="G539">
        <v>660</v>
      </c>
      <c r="H539" t="s">
        <v>11</v>
      </c>
    </row>
    <row r="540" spans="1:8">
      <c r="A540" t="s">
        <v>605</v>
      </c>
      <c r="B540" s="1">
        <v>45753</v>
      </c>
      <c r="C540" t="s">
        <v>52</v>
      </c>
      <c r="D540" t="s">
        <v>148</v>
      </c>
      <c r="E540">
        <v>55</v>
      </c>
      <c r="F540">
        <v>4</v>
      </c>
      <c r="G540">
        <v>220</v>
      </c>
      <c r="H540" t="s">
        <v>23</v>
      </c>
    </row>
    <row r="541" spans="1:8">
      <c r="A541" t="s">
        <v>606</v>
      </c>
      <c r="B541" s="1">
        <v>45746</v>
      </c>
      <c r="C541" t="s">
        <v>13</v>
      </c>
      <c r="D541" t="s">
        <v>72</v>
      </c>
      <c r="E541">
        <v>3200</v>
      </c>
      <c r="F541">
        <v>1</v>
      </c>
      <c r="G541">
        <v>3200</v>
      </c>
      <c r="H541" t="s">
        <v>28</v>
      </c>
    </row>
    <row r="542" spans="1:8">
      <c r="A542" t="s">
        <v>607</v>
      </c>
      <c r="B542" s="1">
        <v>45731</v>
      </c>
      <c r="C542" t="s">
        <v>35</v>
      </c>
      <c r="D542" t="s">
        <v>608</v>
      </c>
      <c r="E542">
        <v>60</v>
      </c>
      <c r="F542">
        <v>3</v>
      </c>
      <c r="G542">
        <v>180</v>
      </c>
      <c r="H542" t="s">
        <v>11</v>
      </c>
    </row>
    <row r="543" spans="1:8">
      <c r="A543" t="s">
        <v>609</v>
      </c>
      <c r="B543" s="1">
        <v>45763</v>
      </c>
      <c r="C543" t="s">
        <v>16</v>
      </c>
      <c r="E543">
        <v>1200</v>
      </c>
      <c r="F543">
        <v>5</v>
      </c>
      <c r="G543">
        <v>6000</v>
      </c>
      <c r="H543" t="s">
        <v>17</v>
      </c>
    </row>
    <row r="544" spans="1:8">
      <c r="A544" t="s">
        <v>610</v>
      </c>
      <c r="B544" s="1">
        <v>45742</v>
      </c>
      <c r="C544" t="s">
        <v>290</v>
      </c>
      <c r="D544" t="s">
        <v>14</v>
      </c>
      <c r="E544">
        <v>2500</v>
      </c>
      <c r="F544">
        <v>5</v>
      </c>
      <c r="G544">
        <v>12500</v>
      </c>
      <c r="H544" t="s">
        <v>17</v>
      </c>
    </row>
    <row r="545" spans="1:8">
      <c r="A545" t="s">
        <v>611</v>
      </c>
      <c r="B545" s="1">
        <v>45839</v>
      </c>
      <c r="C545" t="s">
        <v>13</v>
      </c>
      <c r="D545" t="s">
        <v>72</v>
      </c>
      <c r="E545">
        <v>3200</v>
      </c>
      <c r="F545">
        <v>4</v>
      </c>
      <c r="H545" t="s">
        <v>28</v>
      </c>
    </row>
    <row r="546" spans="1:8">
      <c r="A546" t="s">
        <v>612</v>
      </c>
      <c r="B546" s="1">
        <v>45659</v>
      </c>
      <c r="C546" t="s">
        <v>30</v>
      </c>
      <c r="D546" t="s">
        <v>31</v>
      </c>
      <c r="E546">
        <v>350</v>
      </c>
      <c r="G546">
        <v>1400</v>
      </c>
      <c r="H546" t="s">
        <v>11</v>
      </c>
    </row>
    <row r="547" spans="1:8">
      <c r="A547" t="s">
        <v>613</v>
      </c>
      <c r="B547" s="1">
        <v>45831</v>
      </c>
      <c r="C547" t="s">
        <v>9</v>
      </c>
      <c r="D547" t="s">
        <v>120</v>
      </c>
      <c r="E547">
        <v>60</v>
      </c>
      <c r="F547">
        <v>3</v>
      </c>
      <c r="G547">
        <v>180</v>
      </c>
      <c r="H547" t="s">
        <v>28</v>
      </c>
    </row>
    <row r="548" spans="1:8">
      <c r="A548" t="s">
        <v>614</v>
      </c>
      <c r="B548" s="1">
        <v>45675</v>
      </c>
      <c r="C548" t="s">
        <v>30</v>
      </c>
      <c r="E548">
        <v>90</v>
      </c>
      <c r="F548">
        <v>3</v>
      </c>
      <c r="G548">
        <v>270</v>
      </c>
      <c r="H548" t="s">
        <v>23</v>
      </c>
    </row>
    <row r="549" spans="1:8">
      <c r="A549" t="s">
        <v>615</v>
      </c>
      <c r="B549" s="1">
        <v>45727</v>
      </c>
      <c r="C549" t="s">
        <v>30</v>
      </c>
      <c r="D549" t="s">
        <v>78</v>
      </c>
      <c r="E549">
        <v>90</v>
      </c>
      <c r="F549">
        <v>4</v>
      </c>
      <c r="G549">
        <v>360</v>
      </c>
      <c r="H549" t="s">
        <v>11</v>
      </c>
    </row>
    <row r="550" spans="1:8">
      <c r="A550" t="s">
        <v>616</v>
      </c>
      <c r="B550" s="1">
        <v>45820</v>
      </c>
      <c r="C550" t="s">
        <v>21</v>
      </c>
      <c r="D550" t="s">
        <v>22</v>
      </c>
      <c r="E550">
        <v>220</v>
      </c>
      <c r="F550">
        <v>1</v>
      </c>
      <c r="G550">
        <v>220</v>
      </c>
      <c r="H550" t="s">
        <v>23</v>
      </c>
    </row>
    <row r="551" spans="1:8">
      <c r="A551" t="s">
        <v>617</v>
      </c>
      <c r="B551" s="1">
        <v>45828</v>
      </c>
      <c r="C551" t="s">
        <v>25</v>
      </c>
      <c r="D551" t="s">
        <v>124</v>
      </c>
      <c r="F551">
        <v>6</v>
      </c>
      <c r="G551">
        <v>240</v>
      </c>
      <c r="H551" t="s">
        <v>23</v>
      </c>
    </row>
    <row r="552" spans="1:8">
      <c r="A552" t="s">
        <v>618</v>
      </c>
      <c r="B552" s="1">
        <v>45806</v>
      </c>
      <c r="C552" t="s">
        <v>13</v>
      </c>
      <c r="D552" t="s">
        <v>72</v>
      </c>
      <c r="E552">
        <v>3200</v>
      </c>
      <c r="F552">
        <v>2</v>
      </c>
      <c r="G552">
        <v>6400</v>
      </c>
      <c r="H552" t="s">
        <v>17</v>
      </c>
    </row>
    <row r="553" spans="1:8">
      <c r="A553" t="s">
        <v>619</v>
      </c>
      <c r="B553" s="1">
        <v>45691</v>
      </c>
      <c r="C553" t="s">
        <v>25</v>
      </c>
      <c r="D553" t="s">
        <v>42</v>
      </c>
      <c r="F553">
        <v>1</v>
      </c>
      <c r="G553">
        <v>30</v>
      </c>
      <c r="H553" t="s">
        <v>17</v>
      </c>
    </row>
    <row r="554" spans="1:8">
      <c r="A554" t="s">
        <v>620</v>
      </c>
      <c r="B554" s="1">
        <v>45667</v>
      </c>
      <c r="C554" t="s">
        <v>16</v>
      </c>
      <c r="D554" t="s">
        <v>47</v>
      </c>
      <c r="E554">
        <v>800</v>
      </c>
      <c r="G554">
        <v>4000</v>
      </c>
      <c r="H554" t="s">
        <v>17</v>
      </c>
    </row>
    <row r="555" spans="1:8">
      <c r="A555" t="s">
        <v>245</v>
      </c>
      <c r="B555" s="1">
        <v>45727</v>
      </c>
      <c r="C555" t="s">
        <v>16</v>
      </c>
      <c r="D555" t="s">
        <v>102</v>
      </c>
      <c r="E555">
        <v>300</v>
      </c>
      <c r="F555">
        <v>6</v>
      </c>
      <c r="G555">
        <v>1800</v>
      </c>
      <c r="H555" t="s">
        <v>28</v>
      </c>
    </row>
    <row r="556" spans="1:8">
      <c r="A556" t="s">
        <v>621</v>
      </c>
      <c r="B556" s="1">
        <v>45712</v>
      </c>
      <c r="C556" t="s">
        <v>9</v>
      </c>
      <c r="D556" t="s">
        <v>300</v>
      </c>
      <c r="E556">
        <v>80</v>
      </c>
      <c r="F556">
        <v>6</v>
      </c>
      <c r="G556">
        <v>480</v>
      </c>
      <c r="H556" t="s">
        <v>23</v>
      </c>
    </row>
    <row r="557" spans="1:8">
      <c r="A557" t="s">
        <v>622</v>
      </c>
      <c r="B557" s="1">
        <v>45781</v>
      </c>
      <c r="C557" t="s">
        <v>25</v>
      </c>
      <c r="D557" t="s">
        <v>98</v>
      </c>
      <c r="E557">
        <v>35</v>
      </c>
      <c r="F557">
        <v>5</v>
      </c>
      <c r="G557">
        <v>175</v>
      </c>
      <c r="H557" t="s">
        <v>11</v>
      </c>
    </row>
    <row r="558" spans="1:8">
      <c r="A558" t="s">
        <v>623</v>
      </c>
      <c r="B558" s="1">
        <v>45789</v>
      </c>
      <c r="C558" t="s">
        <v>21</v>
      </c>
      <c r="D558" t="s">
        <v>22</v>
      </c>
      <c r="E558">
        <v>220</v>
      </c>
      <c r="F558">
        <v>3</v>
      </c>
      <c r="G558">
        <v>660</v>
      </c>
      <c r="H558" t="s">
        <v>28</v>
      </c>
    </row>
    <row r="559" spans="1:8">
      <c r="A559" t="s">
        <v>624</v>
      </c>
      <c r="B559" s="1">
        <v>45669</v>
      </c>
      <c r="C559" t="s">
        <v>25</v>
      </c>
      <c r="D559" t="s">
        <v>114</v>
      </c>
      <c r="E559">
        <v>55</v>
      </c>
      <c r="F559">
        <v>1</v>
      </c>
      <c r="G559">
        <v>55</v>
      </c>
      <c r="H559" t="s">
        <v>23</v>
      </c>
    </row>
    <row r="560" spans="1:8">
      <c r="A560" t="s">
        <v>625</v>
      </c>
      <c r="B560" s="1">
        <v>45757</v>
      </c>
      <c r="C560" t="s">
        <v>16</v>
      </c>
      <c r="D560" t="s">
        <v>40</v>
      </c>
      <c r="E560">
        <v>1200</v>
      </c>
      <c r="F560">
        <v>2</v>
      </c>
      <c r="G560">
        <v>3600</v>
      </c>
      <c r="H560" t="s">
        <v>28</v>
      </c>
    </row>
    <row r="561" spans="1:8">
      <c r="A561" t="s">
        <v>626</v>
      </c>
      <c r="B561" s="1">
        <v>45887</v>
      </c>
      <c r="C561" t="s">
        <v>16</v>
      </c>
      <c r="D561" t="s">
        <v>40</v>
      </c>
      <c r="E561">
        <v>1200</v>
      </c>
      <c r="F561">
        <v>5</v>
      </c>
      <c r="G561">
        <v>6000</v>
      </c>
      <c r="H561" t="s">
        <v>11</v>
      </c>
    </row>
    <row r="562" spans="1:8">
      <c r="A562" t="s">
        <v>627</v>
      </c>
      <c r="B562" s="1">
        <v>45841</v>
      </c>
      <c r="C562" t="s">
        <v>30</v>
      </c>
      <c r="E562">
        <v>400</v>
      </c>
      <c r="F562">
        <v>3</v>
      </c>
      <c r="G562">
        <v>1200</v>
      </c>
      <c r="H562" t="s">
        <v>28</v>
      </c>
    </row>
    <row r="563" spans="1:8">
      <c r="A563" t="s">
        <v>628</v>
      </c>
      <c r="B563" s="1">
        <v>45746</v>
      </c>
      <c r="C563" t="s">
        <v>13</v>
      </c>
      <c r="D563" t="s">
        <v>333</v>
      </c>
      <c r="E563">
        <v>1800</v>
      </c>
      <c r="F563">
        <v>4</v>
      </c>
      <c r="G563">
        <v>7200</v>
      </c>
      <c r="H563" t="s">
        <v>23</v>
      </c>
    </row>
    <row r="564" spans="1:8">
      <c r="A564" t="s">
        <v>629</v>
      </c>
      <c r="B564" s="1">
        <v>45776</v>
      </c>
      <c r="C564" t="s">
        <v>9</v>
      </c>
      <c r="D564" t="s">
        <v>19</v>
      </c>
      <c r="E564">
        <v>250</v>
      </c>
      <c r="F564">
        <v>6</v>
      </c>
      <c r="G564">
        <v>1500</v>
      </c>
      <c r="H564" t="s">
        <v>28</v>
      </c>
    </row>
    <row r="565" spans="1:8">
      <c r="A565" t="s">
        <v>630</v>
      </c>
      <c r="B565" s="1">
        <v>45767</v>
      </c>
      <c r="C565" t="s">
        <v>52</v>
      </c>
      <c r="D565" t="s">
        <v>148</v>
      </c>
      <c r="E565">
        <v>55</v>
      </c>
      <c r="F565">
        <v>3</v>
      </c>
      <c r="G565">
        <v>165</v>
      </c>
      <c r="H565" t="s">
        <v>23</v>
      </c>
    </row>
    <row r="566" spans="1:8">
      <c r="A566" t="s">
        <v>631</v>
      </c>
      <c r="B566" s="1">
        <v>45723</v>
      </c>
      <c r="C566" t="s">
        <v>30</v>
      </c>
      <c r="E566">
        <v>900</v>
      </c>
      <c r="F566">
        <v>6</v>
      </c>
      <c r="G566">
        <v>5400</v>
      </c>
      <c r="H566" t="s">
        <v>11</v>
      </c>
    </row>
    <row r="567" spans="1:8">
      <c r="A567" t="s">
        <v>632</v>
      </c>
      <c r="B567" s="1">
        <v>45665</v>
      </c>
      <c r="C567" t="s">
        <v>30</v>
      </c>
      <c r="D567" t="s">
        <v>633</v>
      </c>
      <c r="E567">
        <v>350</v>
      </c>
      <c r="F567">
        <v>4</v>
      </c>
      <c r="G567">
        <v>1400</v>
      </c>
      <c r="H567" t="s">
        <v>11</v>
      </c>
    </row>
    <row r="568" spans="1:8">
      <c r="A568" t="s">
        <v>634</v>
      </c>
      <c r="B568" s="1">
        <v>45855</v>
      </c>
      <c r="C568" t="s">
        <v>35</v>
      </c>
      <c r="D568" t="s">
        <v>36</v>
      </c>
      <c r="E568">
        <v>90</v>
      </c>
      <c r="F568">
        <v>2</v>
      </c>
      <c r="G568">
        <v>180</v>
      </c>
      <c r="H568" t="s">
        <v>28</v>
      </c>
    </row>
    <row r="569" spans="1:8">
      <c r="A569" t="s">
        <v>635</v>
      </c>
      <c r="B569" s="1">
        <v>45728</v>
      </c>
      <c r="C569" t="s">
        <v>13</v>
      </c>
      <c r="D569" t="s">
        <v>141</v>
      </c>
      <c r="E569">
        <v>1800</v>
      </c>
      <c r="F569">
        <v>1</v>
      </c>
      <c r="G569">
        <v>1800</v>
      </c>
      <c r="H569" t="s">
        <v>11</v>
      </c>
    </row>
    <row r="570" spans="1:8">
      <c r="A570" t="s">
        <v>636</v>
      </c>
      <c r="B570" s="1">
        <v>45841</v>
      </c>
      <c r="C570" t="s">
        <v>13</v>
      </c>
      <c r="D570" t="s">
        <v>72</v>
      </c>
      <c r="E570">
        <v>3200</v>
      </c>
      <c r="F570">
        <v>2</v>
      </c>
      <c r="G570">
        <v>6400</v>
      </c>
      <c r="H570" t="s">
        <v>28</v>
      </c>
    </row>
    <row r="571" spans="1:8">
      <c r="A571" t="s">
        <v>637</v>
      </c>
      <c r="B571" s="1">
        <v>45693</v>
      </c>
      <c r="C571" t="s">
        <v>35</v>
      </c>
      <c r="D571" t="s">
        <v>139</v>
      </c>
      <c r="E571">
        <v>180</v>
      </c>
      <c r="F571">
        <v>6</v>
      </c>
      <c r="G571">
        <v>1080</v>
      </c>
      <c r="H571" t="s">
        <v>11</v>
      </c>
    </row>
    <row r="572" spans="1:8">
      <c r="A572" t="s">
        <v>638</v>
      </c>
      <c r="B572" s="1">
        <v>45755</v>
      </c>
      <c r="C572" t="s">
        <v>52</v>
      </c>
      <c r="D572" t="s">
        <v>148</v>
      </c>
      <c r="E572">
        <v>55</v>
      </c>
      <c r="F572">
        <v>2</v>
      </c>
      <c r="G572">
        <v>110</v>
      </c>
      <c r="H572" t="s">
        <v>23</v>
      </c>
    </row>
    <row r="573" spans="1:8">
      <c r="A573" t="s">
        <v>639</v>
      </c>
      <c r="B573" s="1">
        <v>45765</v>
      </c>
      <c r="C573" t="s">
        <v>30</v>
      </c>
      <c r="D573" t="s">
        <v>31</v>
      </c>
      <c r="E573">
        <v>350</v>
      </c>
      <c r="F573">
        <v>3</v>
      </c>
      <c r="G573">
        <v>1050</v>
      </c>
      <c r="H573" t="s">
        <v>23</v>
      </c>
    </row>
    <row r="574" spans="1:8">
      <c r="A574" t="s">
        <v>640</v>
      </c>
      <c r="B574" s="1">
        <v>45824</v>
      </c>
      <c r="C574" t="s">
        <v>16</v>
      </c>
      <c r="D574" t="s">
        <v>257</v>
      </c>
      <c r="E574">
        <v>500</v>
      </c>
      <c r="F574">
        <v>4</v>
      </c>
      <c r="G574">
        <v>2000</v>
      </c>
      <c r="H574" t="s">
        <v>11</v>
      </c>
    </row>
    <row r="575" spans="1:8">
      <c r="A575" t="s">
        <v>99</v>
      </c>
      <c r="B575" s="1">
        <v>45839</v>
      </c>
      <c r="C575" t="s">
        <v>35</v>
      </c>
      <c r="D575" t="s">
        <v>100</v>
      </c>
      <c r="E575">
        <v>60</v>
      </c>
      <c r="G575">
        <v>60</v>
      </c>
      <c r="H575" t="s">
        <v>17</v>
      </c>
    </row>
    <row r="576" spans="1:8">
      <c r="A576" t="s">
        <v>641</v>
      </c>
      <c r="B576" s="1">
        <v>45661</v>
      </c>
      <c r="C576" t="s">
        <v>404</v>
      </c>
      <c r="D576" t="s">
        <v>22</v>
      </c>
      <c r="E576">
        <v>220</v>
      </c>
      <c r="F576">
        <v>4</v>
      </c>
      <c r="G576">
        <v>880</v>
      </c>
      <c r="H576" t="s">
        <v>23</v>
      </c>
    </row>
    <row r="577" spans="1:8">
      <c r="A577" t="s">
        <v>642</v>
      </c>
      <c r="B577" s="1">
        <v>45771</v>
      </c>
      <c r="C577" t="s">
        <v>21</v>
      </c>
      <c r="D577" t="s">
        <v>92</v>
      </c>
      <c r="E577">
        <v>75</v>
      </c>
      <c r="F577">
        <v>3</v>
      </c>
      <c r="G577">
        <v>225</v>
      </c>
      <c r="H577" t="s">
        <v>17</v>
      </c>
    </row>
    <row r="578" spans="1:8">
      <c r="A578" t="s">
        <v>643</v>
      </c>
      <c r="B578" s="1">
        <v>45888</v>
      </c>
      <c r="C578" t="s">
        <v>52</v>
      </c>
      <c r="D578" t="s">
        <v>53</v>
      </c>
      <c r="E578">
        <v>70</v>
      </c>
      <c r="F578">
        <v>6</v>
      </c>
      <c r="G578">
        <v>420</v>
      </c>
      <c r="H578" t="s">
        <v>11</v>
      </c>
    </row>
    <row r="579" spans="1:8">
      <c r="A579" t="s">
        <v>644</v>
      </c>
      <c r="B579" s="1">
        <v>45671</v>
      </c>
      <c r="C579" t="s">
        <v>30</v>
      </c>
      <c r="D579" t="s">
        <v>31</v>
      </c>
      <c r="E579">
        <v>350</v>
      </c>
      <c r="F579">
        <v>6</v>
      </c>
      <c r="G579">
        <v>2100</v>
      </c>
      <c r="H579" t="s">
        <v>23</v>
      </c>
    </row>
    <row r="580" spans="1:8">
      <c r="A580" t="s">
        <v>645</v>
      </c>
      <c r="B580" s="1">
        <v>45796</v>
      </c>
      <c r="C580" t="s">
        <v>186</v>
      </c>
      <c r="D580" t="s">
        <v>49</v>
      </c>
      <c r="E580">
        <v>400</v>
      </c>
      <c r="F580">
        <v>3</v>
      </c>
      <c r="G580">
        <v>1200</v>
      </c>
      <c r="H580" t="s">
        <v>28</v>
      </c>
    </row>
    <row r="581" spans="1:8">
      <c r="A581" t="s">
        <v>646</v>
      </c>
      <c r="B581" s="1">
        <v>45697</v>
      </c>
      <c r="C581" t="s">
        <v>21</v>
      </c>
      <c r="E581">
        <v>190</v>
      </c>
      <c r="F581">
        <v>6</v>
      </c>
      <c r="G581">
        <v>1140</v>
      </c>
      <c r="H581" t="s">
        <v>11</v>
      </c>
    </row>
    <row r="582" spans="1:8">
      <c r="A582" t="s">
        <v>647</v>
      </c>
      <c r="B582" s="1">
        <v>45839</v>
      </c>
      <c r="C582" t="s">
        <v>9</v>
      </c>
      <c r="E582">
        <v>350</v>
      </c>
      <c r="F582">
        <v>1</v>
      </c>
      <c r="G582">
        <v>350</v>
      </c>
      <c r="H582" t="s">
        <v>11</v>
      </c>
    </row>
    <row r="583" spans="1:8">
      <c r="A583" t="s">
        <v>648</v>
      </c>
      <c r="B583" s="1">
        <v>45659</v>
      </c>
      <c r="C583" t="s">
        <v>52</v>
      </c>
      <c r="D583" t="s">
        <v>94</v>
      </c>
      <c r="E583">
        <v>150</v>
      </c>
      <c r="F583">
        <v>3</v>
      </c>
      <c r="H583" t="s">
        <v>28</v>
      </c>
    </row>
    <row r="584" spans="1:8">
      <c r="A584" t="s">
        <v>649</v>
      </c>
      <c r="B584" s="1">
        <v>45829</v>
      </c>
      <c r="C584" t="s">
        <v>13</v>
      </c>
      <c r="D584" t="s">
        <v>33</v>
      </c>
      <c r="E584">
        <v>700</v>
      </c>
      <c r="F584">
        <v>6</v>
      </c>
      <c r="G584">
        <v>4200</v>
      </c>
      <c r="H584" t="s">
        <v>11</v>
      </c>
    </row>
    <row r="585" spans="1:8">
      <c r="A585" t="s">
        <v>650</v>
      </c>
      <c r="B585" s="1">
        <v>45849</v>
      </c>
      <c r="C585" t="s">
        <v>9</v>
      </c>
      <c r="D585" t="s">
        <v>651</v>
      </c>
      <c r="E585">
        <v>350</v>
      </c>
      <c r="F585">
        <v>5</v>
      </c>
      <c r="G585">
        <v>1750</v>
      </c>
      <c r="H585" t="s">
        <v>11</v>
      </c>
    </row>
    <row r="586" spans="1:8">
      <c r="A586" t="s">
        <v>652</v>
      </c>
      <c r="B586" s="1">
        <v>45688</v>
      </c>
      <c r="C586" t="s">
        <v>25</v>
      </c>
      <c r="D586" t="s">
        <v>114</v>
      </c>
      <c r="E586">
        <v>55</v>
      </c>
      <c r="F586">
        <v>6</v>
      </c>
      <c r="G586">
        <v>495</v>
      </c>
      <c r="H586" t="s">
        <v>23</v>
      </c>
    </row>
    <row r="587" spans="1:8">
      <c r="A587" t="s">
        <v>653</v>
      </c>
      <c r="B587" s="1">
        <v>45838</v>
      </c>
      <c r="C587" t="s">
        <v>9</v>
      </c>
      <c r="D587" t="s">
        <v>82</v>
      </c>
      <c r="E587">
        <v>350</v>
      </c>
      <c r="F587">
        <v>3</v>
      </c>
      <c r="G587">
        <v>1050</v>
      </c>
      <c r="H587" t="s">
        <v>23</v>
      </c>
    </row>
    <row r="588" spans="1:8">
      <c r="A588" t="s">
        <v>654</v>
      </c>
      <c r="B588" s="1">
        <v>45878</v>
      </c>
      <c r="C588" t="s">
        <v>30</v>
      </c>
      <c r="D588" t="s">
        <v>70</v>
      </c>
      <c r="E588">
        <v>900</v>
      </c>
      <c r="F588">
        <v>1</v>
      </c>
      <c r="G588">
        <v>900</v>
      </c>
      <c r="H588" t="s">
        <v>23</v>
      </c>
    </row>
    <row r="589" spans="1:8">
      <c r="A589" t="s">
        <v>655</v>
      </c>
      <c r="B589" s="1">
        <v>45757</v>
      </c>
      <c r="C589" t="s">
        <v>52</v>
      </c>
      <c r="D589" t="s">
        <v>67</v>
      </c>
      <c r="E589">
        <v>120</v>
      </c>
      <c r="F589">
        <v>6</v>
      </c>
      <c r="G589">
        <v>1080</v>
      </c>
      <c r="H589" t="s">
        <v>23</v>
      </c>
    </row>
    <row r="590" spans="1:8">
      <c r="A590" t="s">
        <v>656</v>
      </c>
      <c r="B590" s="1">
        <v>45741</v>
      </c>
      <c r="C590" t="s">
        <v>52</v>
      </c>
      <c r="D590" t="s">
        <v>53</v>
      </c>
      <c r="F590">
        <v>3</v>
      </c>
      <c r="G590">
        <v>210</v>
      </c>
      <c r="H590" t="s">
        <v>28</v>
      </c>
    </row>
    <row r="591" spans="1:8">
      <c r="A591" t="s">
        <v>657</v>
      </c>
      <c r="B591" s="1">
        <v>45826</v>
      </c>
      <c r="C591" t="s">
        <v>52</v>
      </c>
      <c r="E591">
        <v>120</v>
      </c>
      <c r="F591">
        <v>5</v>
      </c>
      <c r="G591">
        <v>600</v>
      </c>
      <c r="H591" t="s">
        <v>28</v>
      </c>
    </row>
    <row r="592" spans="1:8">
      <c r="A592" t="s">
        <v>658</v>
      </c>
      <c r="B592" s="1">
        <v>45686</v>
      </c>
      <c r="C592" t="s">
        <v>16</v>
      </c>
      <c r="D592" t="s">
        <v>47</v>
      </c>
      <c r="E592">
        <v>800</v>
      </c>
      <c r="F592">
        <v>1</v>
      </c>
      <c r="G592">
        <v>800</v>
      </c>
      <c r="H592" t="s">
        <v>23</v>
      </c>
    </row>
    <row r="593" spans="1:8">
      <c r="A593" t="s">
        <v>659</v>
      </c>
      <c r="B593" s="1">
        <v>45769</v>
      </c>
      <c r="C593" t="s">
        <v>52</v>
      </c>
      <c r="D593" t="s">
        <v>148</v>
      </c>
      <c r="E593">
        <v>55</v>
      </c>
      <c r="F593">
        <v>2</v>
      </c>
      <c r="G593">
        <v>110</v>
      </c>
      <c r="H593" t="s">
        <v>28</v>
      </c>
    </row>
    <row r="594" spans="1:8">
      <c r="A594" t="s">
        <v>660</v>
      </c>
      <c r="B594" s="1">
        <v>45857</v>
      </c>
      <c r="C594" t="s">
        <v>13</v>
      </c>
      <c r="D594" t="s">
        <v>72</v>
      </c>
      <c r="E594">
        <v>3200</v>
      </c>
      <c r="F594">
        <v>6</v>
      </c>
      <c r="G594">
        <v>19200</v>
      </c>
      <c r="H594" t="s">
        <v>17</v>
      </c>
    </row>
    <row r="595" spans="1:8">
      <c r="A595" t="s">
        <v>661</v>
      </c>
      <c r="B595" s="1">
        <v>45787</v>
      </c>
      <c r="C595" t="s">
        <v>25</v>
      </c>
      <c r="D595" t="s">
        <v>114</v>
      </c>
      <c r="F595">
        <v>6</v>
      </c>
      <c r="G595">
        <v>330</v>
      </c>
      <c r="H595" t="s">
        <v>11</v>
      </c>
    </row>
    <row r="596" spans="1:8">
      <c r="A596" t="s">
        <v>662</v>
      </c>
      <c r="B596" s="1">
        <v>45685</v>
      </c>
      <c r="C596" t="s">
        <v>21</v>
      </c>
      <c r="E596">
        <v>650</v>
      </c>
      <c r="F596">
        <v>4</v>
      </c>
      <c r="G596">
        <v>2600</v>
      </c>
      <c r="H596" t="s">
        <v>17</v>
      </c>
    </row>
    <row r="597" spans="1:8">
      <c r="A597" t="s">
        <v>663</v>
      </c>
      <c r="B597" s="1">
        <v>45867</v>
      </c>
      <c r="C597" t="s">
        <v>9</v>
      </c>
      <c r="D597" t="s">
        <v>82</v>
      </c>
      <c r="E597">
        <v>350</v>
      </c>
      <c r="F597">
        <v>2</v>
      </c>
      <c r="G597">
        <v>1050</v>
      </c>
      <c r="H597" t="s">
        <v>28</v>
      </c>
    </row>
    <row r="598" spans="1:8">
      <c r="A598" t="s">
        <v>664</v>
      </c>
      <c r="B598" s="1">
        <v>45834</v>
      </c>
      <c r="C598" t="s">
        <v>30</v>
      </c>
      <c r="D598" t="s">
        <v>49</v>
      </c>
      <c r="E598">
        <v>400</v>
      </c>
      <c r="F598">
        <v>4</v>
      </c>
      <c r="H598" t="s">
        <v>28</v>
      </c>
    </row>
    <row r="599" spans="1:8">
      <c r="A599" t="s">
        <v>665</v>
      </c>
      <c r="B599" s="1">
        <v>45705</v>
      </c>
      <c r="C599" t="s">
        <v>25</v>
      </c>
      <c r="D599" t="s">
        <v>114</v>
      </c>
      <c r="E599">
        <v>55</v>
      </c>
      <c r="G599">
        <v>220</v>
      </c>
      <c r="H599" t="s">
        <v>28</v>
      </c>
    </row>
    <row r="600" spans="1:8">
      <c r="A600" t="s">
        <v>666</v>
      </c>
      <c r="B600" s="1">
        <v>45764</v>
      </c>
      <c r="C600" t="s">
        <v>35</v>
      </c>
      <c r="D600" t="s">
        <v>104</v>
      </c>
      <c r="E600">
        <v>20</v>
      </c>
      <c r="F600">
        <v>2</v>
      </c>
      <c r="G600">
        <v>40</v>
      </c>
      <c r="H600" t="s">
        <v>11</v>
      </c>
    </row>
    <row r="601" spans="1:8">
      <c r="A601" t="s">
        <v>667</v>
      </c>
      <c r="B601" s="1">
        <v>45699</v>
      </c>
      <c r="C601" t="s">
        <v>13</v>
      </c>
      <c r="D601" t="s">
        <v>59</v>
      </c>
      <c r="E601">
        <v>350</v>
      </c>
      <c r="F601">
        <v>3</v>
      </c>
      <c r="G601">
        <v>1050</v>
      </c>
      <c r="H601" t="s">
        <v>28</v>
      </c>
    </row>
    <row r="602" spans="1:8">
      <c r="A602" t="s">
        <v>668</v>
      </c>
      <c r="B602" s="1">
        <v>45720</v>
      </c>
      <c r="C602" t="s">
        <v>52</v>
      </c>
      <c r="D602" t="s">
        <v>94</v>
      </c>
      <c r="E602">
        <v>150</v>
      </c>
      <c r="G602">
        <v>600</v>
      </c>
      <c r="H602" t="s">
        <v>23</v>
      </c>
    </row>
    <row r="603" spans="1:8">
      <c r="A603" t="s">
        <v>669</v>
      </c>
      <c r="B603" s="1">
        <v>45707</v>
      </c>
      <c r="C603" t="s">
        <v>13</v>
      </c>
      <c r="D603" t="s">
        <v>72</v>
      </c>
      <c r="E603">
        <v>3200</v>
      </c>
      <c r="F603">
        <v>5</v>
      </c>
      <c r="G603">
        <v>16000</v>
      </c>
      <c r="H603" t="s">
        <v>23</v>
      </c>
    </row>
    <row r="604" spans="1:8">
      <c r="A604" t="s">
        <v>670</v>
      </c>
      <c r="B604" s="1">
        <v>45881</v>
      </c>
      <c r="C604" t="s">
        <v>13</v>
      </c>
      <c r="D604" t="s">
        <v>141</v>
      </c>
      <c r="F604">
        <v>1</v>
      </c>
      <c r="G604">
        <v>1800</v>
      </c>
      <c r="H604" t="s">
        <v>17</v>
      </c>
    </row>
    <row r="605" spans="1:8">
      <c r="A605" t="s">
        <v>671</v>
      </c>
      <c r="B605" s="1">
        <v>45716</v>
      </c>
      <c r="C605" t="s">
        <v>9</v>
      </c>
      <c r="D605" t="s">
        <v>120</v>
      </c>
      <c r="E605">
        <v>60</v>
      </c>
      <c r="F605">
        <v>3</v>
      </c>
      <c r="G605">
        <v>180</v>
      </c>
      <c r="H605" t="s">
        <v>28</v>
      </c>
    </row>
    <row r="606" spans="1:8">
      <c r="A606" t="s">
        <v>672</v>
      </c>
      <c r="B606" s="1">
        <v>45887</v>
      </c>
      <c r="C606" t="s">
        <v>21</v>
      </c>
      <c r="E606">
        <v>75</v>
      </c>
      <c r="F606">
        <v>6</v>
      </c>
      <c r="G606">
        <v>450</v>
      </c>
      <c r="H606" t="s">
        <v>17</v>
      </c>
    </row>
    <row r="607" spans="1:8">
      <c r="A607" t="s">
        <v>673</v>
      </c>
      <c r="B607" s="1">
        <v>45735</v>
      </c>
      <c r="C607" t="s">
        <v>16</v>
      </c>
      <c r="D607" t="s">
        <v>102</v>
      </c>
      <c r="F607">
        <v>2</v>
      </c>
      <c r="G607">
        <v>600</v>
      </c>
      <c r="H607" t="s">
        <v>11</v>
      </c>
    </row>
    <row r="608" spans="1:8">
      <c r="A608" t="s">
        <v>674</v>
      </c>
      <c r="B608" s="1">
        <v>45745</v>
      </c>
      <c r="C608" t="s">
        <v>25</v>
      </c>
      <c r="D608" t="s">
        <v>42</v>
      </c>
      <c r="E608">
        <v>30</v>
      </c>
      <c r="F608">
        <v>4</v>
      </c>
      <c r="G608">
        <v>120</v>
      </c>
      <c r="H608" t="s">
        <v>23</v>
      </c>
    </row>
    <row r="609" spans="1:8">
      <c r="A609" t="s">
        <v>675</v>
      </c>
      <c r="B609" s="1">
        <v>45823</v>
      </c>
      <c r="C609" t="s">
        <v>35</v>
      </c>
      <c r="E609">
        <v>90</v>
      </c>
      <c r="F609">
        <v>5</v>
      </c>
      <c r="G609">
        <v>450</v>
      </c>
      <c r="H609" t="s">
        <v>23</v>
      </c>
    </row>
    <row r="610" spans="1:8">
      <c r="A610" t="s">
        <v>676</v>
      </c>
      <c r="B610" s="1">
        <v>45763</v>
      </c>
      <c r="C610" t="s">
        <v>16</v>
      </c>
      <c r="D610" t="s">
        <v>102</v>
      </c>
      <c r="E610">
        <v>300</v>
      </c>
      <c r="F610">
        <v>2</v>
      </c>
      <c r="H610" t="s">
        <v>23</v>
      </c>
    </row>
    <row r="611" spans="1:8">
      <c r="A611" t="s">
        <v>677</v>
      </c>
      <c r="B611" s="1">
        <v>45799</v>
      </c>
      <c r="C611" t="s">
        <v>21</v>
      </c>
      <c r="D611" t="s">
        <v>122</v>
      </c>
      <c r="E611">
        <v>190</v>
      </c>
      <c r="F611">
        <v>1</v>
      </c>
      <c r="G611">
        <v>190</v>
      </c>
      <c r="H611" t="s">
        <v>23</v>
      </c>
    </row>
    <row r="612" spans="1:8">
      <c r="A612" t="s">
        <v>678</v>
      </c>
      <c r="B612" s="1">
        <v>45678</v>
      </c>
      <c r="C612" t="s">
        <v>21</v>
      </c>
      <c r="D612" t="s">
        <v>22</v>
      </c>
      <c r="E612">
        <v>220</v>
      </c>
      <c r="F612">
        <v>1</v>
      </c>
      <c r="G612">
        <v>220</v>
      </c>
      <c r="H612" t="s">
        <v>23</v>
      </c>
    </row>
    <row r="613" spans="1:8">
      <c r="A613" t="s">
        <v>679</v>
      </c>
      <c r="B613" s="1">
        <v>45658</v>
      </c>
      <c r="C613" t="s">
        <v>9</v>
      </c>
      <c r="D613" t="s">
        <v>10</v>
      </c>
      <c r="E613">
        <v>110</v>
      </c>
      <c r="G613">
        <v>440</v>
      </c>
      <c r="H613" t="s">
        <v>28</v>
      </c>
    </row>
    <row r="614" spans="1:8">
      <c r="A614" t="s">
        <v>680</v>
      </c>
      <c r="B614" s="1">
        <v>45803</v>
      </c>
      <c r="C614" t="s">
        <v>21</v>
      </c>
      <c r="D614" t="s">
        <v>61</v>
      </c>
      <c r="F614">
        <v>3</v>
      </c>
      <c r="G614">
        <v>1950</v>
      </c>
      <c r="H614" t="s">
        <v>11</v>
      </c>
    </row>
    <row r="615" spans="1:8">
      <c r="A615" t="s">
        <v>681</v>
      </c>
      <c r="B615" s="1">
        <v>45750</v>
      </c>
      <c r="C615" t="s">
        <v>30</v>
      </c>
      <c r="D615" t="s">
        <v>31</v>
      </c>
      <c r="E615">
        <v>350</v>
      </c>
      <c r="F615">
        <v>5</v>
      </c>
      <c r="G615">
        <v>2625</v>
      </c>
      <c r="H615" t="s">
        <v>17</v>
      </c>
    </row>
    <row r="616" spans="1:8">
      <c r="A616" t="s">
        <v>682</v>
      </c>
      <c r="B616" s="1">
        <v>45726</v>
      </c>
      <c r="C616" t="s">
        <v>35</v>
      </c>
      <c r="D616" t="s">
        <v>139</v>
      </c>
      <c r="E616">
        <v>180</v>
      </c>
      <c r="F616">
        <v>2</v>
      </c>
      <c r="G616">
        <v>360</v>
      </c>
      <c r="H61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A957-D624-43E3-A489-4FFB25815405}">
  <dimension ref="A1:C46"/>
  <sheetViews>
    <sheetView workbookViewId="0">
      <selection activeCell="A47" sqref="A47"/>
    </sheetView>
  </sheetViews>
  <sheetFormatPr defaultRowHeight="14.4"/>
  <cols>
    <col min="1" max="1" width="22.77734375" bestFit="1" customWidth="1"/>
    <col min="2" max="2" width="12" bestFit="1" customWidth="1"/>
    <col min="3" max="3" width="17" bestFit="1" customWidth="1"/>
  </cols>
  <sheetData>
    <row r="1" spans="1:3">
      <c r="A1" t="s">
        <v>3</v>
      </c>
      <c r="B1" t="s">
        <v>4</v>
      </c>
      <c r="C1" t="s">
        <v>2</v>
      </c>
    </row>
    <row r="2" spans="1:3">
      <c r="A2" t="s">
        <v>10</v>
      </c>
      <c r="B2">
        <v>110</v>
      </c>
      <c r="C2" t="str">
        <f>IFERROR(INDEX('Raw Data'!C:C,MATCH(A2,'Raw Data'!D:D,0)),"")</f>
        <v>Milk Products</v>
      </c>
    </row>
    <row r="3" spans="1:3">
      <c r="A3" t="s">
        <v>14</v>
      </c>
      <c r="B3">
        <v>2500</v>
      </c>
      <c r="C3" t="str">
        <f>IFERROR(INDEX('Raw Data'!C:C,MATCH(A3,'Raw Data'!D:D,0)),"")</f>
        <v>Furniture</v>
      </c>
    </row>
    <row r="4" spans="1:3">
      <c r="A4" t="s">
        <v>19</v>
      </c>
      <c r="B4">
        <v>250</v>
      </c>
      <c r="C4" t="str">
        <f>IFERROR(INDEX('Raw Data'!C:C,MATCH(A4,'Raw Data'!D:D,0)),"")</f>
        <v>Milk Products</v>
      </c>
    </row>
    <row r="5" spans="1:3">
      <c r="A5" t="s">
        <v>22</v>
      </c>
      <c r="B5">
        <v>220</v>
      </c>
      <c r="C5" t="str">
        <f>IFERROR(INDEX('Raw Data'!C:C,MATCH(A5,'Raw Data'!D:D,0)),"")</f>
        <v>Butchers</v>
      </c>
    </row>
    <row r="6" spans="1:3">
      <c r="A6" t="s">
        <v>26</v>
      </c>
      <c r="B6">
        <v>90</v>
      </c>
      <c r="C6" t="str">
        <f>IFERROR(INDEX('Raw Data'!C:C,MATCH(A6,'Raw Data'!D:D,0)),"")</f>
        <v>Patisserie</v>
      </c>
    </row>
    <row r="7" spans="1:3">
      <c r="A7" t="s">
        <v>31</v>
      </c>
      <c r="B7">
        <v>350</v>
      </c>
      <c r="C7" t="str">
        <f>IFERROR(INDEX('Raw Data'!C:C,MATCH(A7,'Raw Data'!D:D,0)),"")</f>
        <v>Electric Accessories</v>
      </c>
    </row>
    <row r="8" spans="1:3">
      <c r="A8" t="s">
        <v>33</v>
      </c>
      <c r="B8">
        <v>700</v>
      </c>
      <c r="C8" t="str">
        <f>IFERROR(INDEX('Raw Data'!C:C,MATCH(A8,'Raw Data'!D:D,0)),"")</f>
        <v>Furniture</v>
      </c>
    </row>
    <row r="9" spans="1:3">
      <c r="A9" t="s">
        <v>38</v>
      </c>
      <c r="B9">
        <v>150</v>
      </c>
      <c r="C9" t="str">
        <f>IFERROR(INDEX('Raw Data'!C:C,MATCH(A9,'Raw Data'!D:D,0)),"")</f>
        <v>Electric Accessories</v>
      </c>
    </row>
    <row r="10" spans="1:3">
      <c r="A10" t="s">
        <v>40</v>
      </c>
      <c r="B10">
        <v>1200</v>
      </c>
      <c r="C10" t="str">
        <f>IFERROR(INDEX('Raw Data'!C:C,MATCH(A10,'Raw Data'!D:D,0)),"")</f>
        <v>Computers</v>
      </c>
    </row>
    <row r="11" spans="1:3">
      <c r="A11" t="s">
        <v>42</v>
      </c>
      <c r="B11">
        <v>30</v>
      </c>
      <c r="C11" t="str">
        <f>IFERROR(INDEX('Raw Data'!C:C,MATCH(A11,'Raw Data'!D:D,0)),"")</f>
        <v>Patisserie</v>
      </c>
    </row>
    <row r="12" spans="1:3">
      <c r="A12" t="s">
        <v>44</v>
      </c>
      <c r="B12">
        <v>380</v>
      </c>
      <c r="C12" t="str">
        <f>IFERROR(INDEX('Raw Data'!C:C,MATCH(A12,'Raw Data'!D:D,0)),"")</f>
        <v>Butchers</v>
      </c>
    </row>
    <row r="13" spans="1:3">
      <c r="A13" t="s">
        <v>49</v>
      </c>
      <c r="B13">
        <v>400</v>
      </c>
      <c r="C13" t="str">
        <f>IFERROR(INDEX('Raw Data'!C:C,MATCH(A13,'Raw Data'!D:D,0)),"")</f>
        <v>Electric Accessories</v>
      </c>
    </row>
    <row r="14" spans="1:3">
      <c r="A14" t="s">
        <v>53</v>
      </c>
      <c r="B14">
        <v>70</v>
      </c>
      <c r="C14" t="str">
        <f>IFERROR(INDEX('Raw Data'!C:C,MATCH(A14,'Raw Data'!D:D,0)),"")</f>
        <v>Food</v>
      </c>
    </row>
    <row r="15" spans="1:3">
      <c r="A15" t="s">
        <v>67</v>
      </c>
      <c r="B15">
        <v>120</v>
      </c>
      <c r="C15" t="str">
        <f>IFERROR(INDEX('Raw Data'!C:C,MATCH(A15,'Raw Data'!D:D,0)),"")</f>
        <v>Food</v>
      </c>
    </row>
    <row r="16" spans="1:3">
      <c r="A16" t="s">
        <v>72</v>
      </c>
      <c r="B16">
        <v>3200</v>
      </c>
      <c r="C16" t="str">
        <f>IFERROR(INDEX('Raw Data'!C:C,MATCH(A16,'Raw Data'!D:D,0)),"")</f>
        <v>Furniture</v>
      </c>
    </row>
    <row r="17" spans="1:3">
      <c r="A17" t="s">
        <v>87</v>
      </c>
      <c r="B17">
        <v>45</v>
      </c>
      <c r="C17" t="str">
        <f>IFERROR(INDEX('Raw Data'!C:C,MATCH(A17,'Raw Data'!D:D,0)),"")</f>
        <v>Beverages</v>
      </c>
    </row>
    <row r="18" spans="1:3">
      <c r="A18" t="s">
        <v>92</v>
      </c>
      <c r="B18">
        <v>75</v>
      </c>
      <c r="C18" t="str">
        <f>IFERROR(INDEX('Raw Data'!C:C,MATCH(A18,'Raw Data'!D:D,0)),"")</f>
        <v>Butchers</v>
      </c>
    </row>
    <row r="19" spans="1:3">
      <c r="A19" t="s">
        <v>98</v>
      </c>
      <c r="B19">
        <v>35</v>
      </c>
      <c r="C19" t="str">
        <f>IFERROR(INDEX('Raw Data'!C:C,MATCH(A19,'Raw Data'!D:D,0)),"")</f>
        <v>Patisserie</v>
      </c>
    </row>
    <row r="20" spans="1:3">
      <c r="A20" t="s">
        <v>100</v>
      </c>
      <c r="B20">
        <v>60</v>
      </c>
      <c r="C20" t="str">
        <f>IFERROR(INDEX('Raw Data'!C:C,MATCH(A20,'Raw Data'!D:D,0)),"")</f>
        <v>Beverages</v>
      </c>
    </row>
    <row r="21" spans="1:3">
      <c r="A21" t="s">
        <v>102</v>
      </c>
      <c r="B21">
        <v>300</v>
      </c>
      <c r="C21" t="str">
        <f>IFERROR(INDEX('Raw Data'!C:C,MATCH(A21,'Raw Data'!D:D,0)),"")</f>
        <v>Computers</v>
      </c>
    </row>
    <row r="22" spans="1:3">
      <c r="A22" t="s">
        <v>104</v>
      </c>
      <c r="B22">
        <v>20</v>
      </c>
      <c r="C22" t="str">
        <f>IFERROR(INDEX('Raw Data'!C:C,MATCH(A22,'Raw Data'!D:D,0)),"")</f>
        <v>Beverages</v>
      </c>
    </row>
    <row r="23" spans="1:3">
      <c r="A23" t="s">
        <v>122</v>
      </c>
      <c r="B23">
        <v>190</v>
      </c>
      <c r="C23" t="str">
        <f>IFERROR(INDEX('Raw Data'!C:C,MATCH(A23,'Raw Data'!D:D,0)),"")</f>
        <v>Butchers</v>
      </c>
    </row>
    <row r="24" spans="1:3">
      <c r="A24" t="s">
        <v>124</v>
      </c>
      <c r="B24">
        <v>40</v>
      </c>
      <c r="C24" t="str">
        <f>IFERROR(INDEX('Raw Data'!C:C,MATCH(A24,'Raw Data'!D:D,0)),"")</f>
        <v>Patisserie</v>
      </c>
    </row>
    <row r="25" spans="1:3">
      <c r="A25" t="s">
        <v>139</v>
      </c>
      <c r="B25">
        <v>180</v>
      </c>
      <c r="C25" t="str">
        <f>IFERROR(INDEX('Raw Data'!C:C,MATCH(A25,'Raw Data'!D:D,0)),"")</f>
        <v>Beverages</v>
      </c>
    </row>
    <row r="26" spans="1:3">
      <c r="A26" t="s">
        <v>141</v>
      </c>
      <c r="B26">
        <v>1800</v>
      </c>
      <c r="C26" t="str">
        <f>IFERROR(INDEX('Raw Data'!C:C,MATCH(A26,'Raw Data'!D:D,0)),"")</f>
        <v>Furniture</v>
      </c>
    </row>
    <row r="27" spans="1:3">
      <c r="A27" t="s">
        <v>148</v>
      </c>
      <c r="B27">
        <v>55</v>
      </c>
      <c r="C27" t="str">
        <f>IFERROR(INDEX('Raw Data'!C:C,MATCH(A27,'Raw Data'!D:D,0)),"")</f>
        <v>Food</v>
      </c>
    </row>
    <row r="28" spans="1:3">
      <c r="A28" t="s">
        <v>158</v>
      </c>
      <c r="B28">
        <v>450</v>
      </c>
      <c r="C28" t="str">
        <f>IFERROR(INDEX('Raw Data'!C:C,MATCH(A28,'Raw Data'!D:D,0)),"")</f>
        <v>Computers</v>
      </c>
    </row>
    <row r="29" spans="1:3">
      <c r="A29" t="s">
        <v>196</v>
      </c>
      <c r="B29">
        <v>65</v>
      </c>
      <c r="C29" t="str">
        <f>IFERROR(INDEX('Raw Data'!C:C,MATCH(A29,'Raw Data'!D:D,0)),"")</f>
        <v>Food</v>
      </c>
    </row>
    <row r="30" spans="1:3">
      <c r="A30" t="s">
        <v>257</v>
      </c>
      <c r="B30">
        <v>500</v>
      </c>
      <c r="C30" t="str">
        <f>IFERROR(INDEX('Raw Data'!C:C,MATCH(A30,'Raw Data'!D:D,0)),"")</f>
        <v>Computers</v>
      </c>
    </row>
    <row r="31" spans="1:3">
      <c r="A31" t="s">
        <v>300</v>
      </c>
      <c r="B31">
        <v>80</v>
      </c>
      <c r="C31" t="str">
        <f>IFERROR(INDEX('Raw Data'!C:C,MATCH(A31,'Raw Data'!D:D,0)),"")</f>
        <v>Milk Products</v>
      </c>
    </row>
    <row r="32" spans="1:3">
      <c r="A32" t="s">
        <v>325</v>
      </c>
      <c r="B32">
        <v>650</v>
      </c>
      <c r="C32" t="str">
        <f>IFERROR(INDEX('Raw Data'!C:C,MATCH(A32,'Raw Data'!D:D,0)),"")</f>
        <v>Butchers</v>
      </c>
    </row>
    <row r="33" spans="1:3">
      <c r="A33" t="s">
        <v>36</v>
      </c>
      <c r="B33">
        <v>90</v>
      </c>
      <c r="C33" t="s">
        <v>35</v>
      </c>
    </row>
    <row r="34" spans="1:3">
      <c r="A34" t="s">
        <v>196</v>
      </c>
      <c r="B34">
        <v>65</v>
      </c>
      <c r="C34" t="s">
        <v>52</v>
      </c>
    </row>
    <row r="35" spans="1:3">
      <c r="A35" t="s">
        <v>94</v>
      </c>
      <c r="B35">
        <v>150</v>
      </c>
      <c r="C35" t="s">
        <v>52</v>
      </c>
    </row>
    <row r="36" spans="1:3">
      <c r="A36" t="s">
        <v>120</v>
      </c>
      <c r="B36">
        <v>60</v>
      </c>
      <c r="C36" t="s">
        <v>9</v>
      </c>
    </row>
    <row r="37" spans="1:3">
      <c r="A37" t="s">
        <v>300</v>
      </c>
      <c r="B37">
        <v>80</v>
      </c>
      <c r="C37" t="s">
        <v>9</v>
      </c>
    </row>
    <row r="38" spans="1:3">
      <c r="A38" t="s">
        <v>82</v>
      </c>
      <c r="B38">
        <v>350</v>
      </c>
      <c r="C38" t="s">
        <v>9</v>
      </c>
    </row>
    <row r="39" spans="1:3">
      <c r="A39" t="s">
        <v>114</v>
      </c>
      <c r="B39">
        <v>55</v>
      </c>
      <c r="C39" t="s">
        <v>25</v>
      </c>
    </row>
    <row r="40" spans="1:3">
      <c r="A40" t="s">
        <v>61</v>
      </c>
      <c r="B40">
        <v>650</v>
      </c>
      <c r="C40" t="s">
        <v>21</v>
      </c>
    </row>
    <row r="41" spans="1:3">
      <c r="A41" t="s">
        <v>78</v>
      </c>
      <c r="B41">
        <v>90</v>
      </c>
      <c r="C41" t="s">
        <v>30</v>
      </c>
    </row>
    <row r="42" spans="1:3">
      <c r="A42" t="s">
        <v>70</v>
      </c>
      <c r="B42">
        <v>900</v>
      </c>
      <c r="C42" t="s">
        <v>30</v>
      </c>
    </row>
    <row r="43" spans="1:3">
      <c r="A43" t="s">
        <v>257</v>
      </c>
      <c r="B43">
        <v>500</v>
      </c>
      <c r="C43" t="s">
        <v>16</v>
      </c>
    </row>
    <row r="44" spans="1:3">
      <c r="A44" t="s">
        <v>47</v>
      </c>
      <c r="B44">
        <v>800</v>
      </c>
      <c r="C44" t="s">
        <v>16</v>
      </c>
    </row>
    <row r="45" spans="1:3">
      <c r="A45" t="s">
        <v>158</v>
      </c>
      <c r="B45">
        <v>450</v>
      </c>
      <c r="C45" t="s">
        <v>16</v>
      </c>
    </row>
    <row r="46" spans="1:3">
      <c r="A46" t="s">
        <v>59</v>
      </c>
      <c r="B46">
        <v>350</v>
      </c>
      <c r="C4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8207E-E051-4455-AE71-953D1708C92B}">
  <dimension ref="A1:J616"/>
  <sheetViews>
    <sheetView zoomScale="108" workbookViewId="0">
      <selection activeCell="I2" sqref="I2"/>
    </sheetView>
  </sheetViews>
  <sheetFormatPr defaultRowHeight="14.4"/>
  <cols>
    <col min="1" max="1" width="12.77734375" bestFit="1" customWidth="1"/>
    <col min="2" max="2" width="10.33203125" bestFit="1" customWidth="1"/>
    <col min="3" max="3" width="12" bestFit="1" customWidth="1"/>
    <col min="4" max="4" width="16.33203125" bestFit="1" customWidth="1"/>
    <col min="5" max="5" width="12" bestFit="1" customWidth="1"/>
    <col min="7" max="7" width="10.21875" bestFit="1" customWidth="1"/>
    <col min="8" max="8" width="15.109375" bestFit="1" customWidth="1"/>
    <col min="9" max="9" width="12" bestFit="1" customWidth="1"/>
    <col min="10" max="10" width="10.554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683</v>
      </c>
      <c r="J1" t="s">
        <v>684</v>
      </c>
    </row>
    <row r="2" spans="1:10">
      <c r="A2" t="str">
        <f>'Raw Data'!A2</f>
        <v>TXN_1557</v>
      </c>
      <c r="B2" s="1">
        <f>'Raw Data'!B2</f>
        <v>45755</v>
      </c>
      <c r="C2" t="str">
        <f>IFERROR(INDEX('Reference Table'!$C$2:$C$46,MATCH(D2,'Reference Table'!$A$2:$A$46,0)),"Unknown")</f>
        <v>Milk Products</v>
      </c>
      <c r="D2" t="str">
        <f t="array" ref="D2">IF(TRIM('Raw Data'!D2)&lt;&gt;"",TRIM('Raw Data'!D2),IFERROR(INDEX('Reference Table'!$A$2:$A$46,MATCH(VALUE('Raw Data'!E2),VALUE('Reference Table'!$B$2:$B$46),0)),"Unknown"))</f>
        <v>Milk_Cheese_200g</v>
      </c>
      <c r="E2">
        <f>IF('Raw Data'!E2&lt;&gt;"",'Raw Data'!E2,IFERROR(INDEX('Reference Table'!$B$2:$B$46,MATCH(D2,'Reference Table'!$A$2:$A$46,0)),""))</f>
        <v>110</v>
      </c>
      <c r="F2">
        <f>IF('Raw Data'!F2&lt;&gt;"",'Raw Data'!F2,IFERROR(ROUND('Raw Data'!G2/E2,0),""))</f>
        <v>6</v>
      </c>
      <c r="G2">
        <f>IF('Raw Data'!G2&lt;&gt;"",'Raw Data'!G2,IFERROR(ROUND(E2*F2,2),""))</f>
        <v>660</v>
      </c>
      <c r="H2" t="str">
        <f>'Raw Data'!H2</f>
        <v>Credit Card</v>
      </c>
      <c r="I2" t="str">
        <f>IF('Raw Data'!D2="",IF(D2="Unknown","Could not recover","Filled from Price lookup"),IF(TRIM('Raw Data'!D2)&lt;&gt;'Raw Data'!D2,"Trimmed whitespace","OK"))</f>
        <v>OK</v>
      </c>
      <c r="J2" t="str">
        <f>IF(AND(E2&lt;&gt;"",F2&lt;&gt;"",G2&lt;&gt;""),IF(ROUND(E2*F2,2)=ROUND(G2,2),"OK","Mismatch"),"Incomplete")</f>
        <v>OK</v>
      </c>
    </row>
    <row r="3" spans="1:10">
      <c r="A3" t="str">
        <f>'Raw Data'!A3</f>
        <v>TXN_1251</v>
      </c>
      <c r="B3" s="1">
        <f>'Raw Data'!B3</f>
        <v>45808</v>
      </c>
      <c r="C3" t="str">
        <f>IFERROR(INDEX('Reference Table'!$C$2:$C$46,MATCH(D3,'Reference Table'!$A$2:$A$46,0)),"Unknown")</f>
        <v>Furniture</v>
      </c>
      <c r="D3" t="str">
        <f t="array" ref="D3">IF(TRIM('Raw Data'!D3)&lt;&gt;"",TRIM('Raw Data'!D3),IFERROR(INDEX('Reference Table'!$A$2:$A$46,MATCH(VALUE('Raw Data'!E3),VALUE('Reference Table'!$B$2:$B$46),0)),"Unknown"))</f>
        <v>Furn_Chair</v>
      </c>
      <c r="E3">
        <f>IF('Raw Data'!E3&lt;&gt;"",'Raw Data'!E3,IFERROR(INDEX('Reference Table'!$B$2:$B$32,MATCH(D3,'Reference Table'!$A$2:$A$32,0)),""))</f>
        <v>2500</v>
      </c>
      <c r="F3">
        <f>IF('Raw Data'!F3&lt;&gt;"",'Raw Data'!F3,IFERROR(ROUND('Raw Data'!G3/E3,0),""))</f>
        <v>2</v>
      </c>
      <c r="G3">
        <f>IF('Raw Data'!G3&lt;&gt;"",'Raw Data'!G3,IFERROR(ROUND(E3*F3,2),""))</f>
        <v>5000</v>
      </c>
      <c r="H3" t="str">
        <f>'Raw Data'!H3</f>
        <v>Credit Card</v>
      </c>
      <c r="I3" t="str">
        <f>IF('Raw Data'!D3="",IF(D3="Unknown","Could not recover","Filled from Price lookup"),IF(TRIM('Raw Data'!D3)&lt;&gt;'Raw Data'!D3,"Trimmed whitespace","OK"))</f>
        <v>OK</v>
      </c>
      <c r="J3" t="str">
        <f t="shared" ref="J3:J66" si="0">IF(AND(E3&lt;&gt;"",F3&lt;&gt;"",G3&lt;&gt;""),IF(ROUND(E3*F3,2)=ROUND(G3,2),"OK","Mismatch"),"Incomplete")</f>
        <v>OK</v>
      </c>
    </row>
    <row r="4" spans="1:10">
      <c r="A4" t="str">
        <f>'Raw Data'!A4</f>
        <v>TXN_1150</v>
      </c>
      <c r="B4" s="1">
        <f>'Raw Data'!B4</f>
        <v>45860</v>
      </c>
      <c r="C4" t="str">
        <f>IFERROR(INDEX('Reference Table'!$C$2:$C$46,MATCH(D4,'Reference Table'!$A$2:$A$46,0)),"Unknown")</f>
        <v>Computers</v>
      </c>
      <c r="D4" t="str">
        <f t="array" ref="D4">IF(TRIM('Raw Data'!D4)&lt;&gt;"",TRIM('Raw Data'!D4),IFERROR(INDEX('Reference Table'!$A$2:$A$46,MATCH(VALUE('Raw Data'!E4),VALUE('Reference Table'!$B$2:$B$46),0)),"Unknown"))</f>
        <v>Comp_Keyboard</v>
      </c>
      <c r="E4">
        <f>IF('Raw Data'!E4&lt;&gt;"",'Raw Data'!E4,IFERROR(INDEX('Reference Table'!$B$2:$B$32,MATCH(D4,'Reference Table'!$A$2:$A$32,0)),""))</f>
        <v>800</v>
      </c>
      <c r="F4">
        <f>IF('Raw Data'!F4&lt;&gt;"",'Raw Data'!F4,IFERROR(ROUND('Raw Data'!G4/E4,0),""))</f>
        <v>4</v>
      </c>
      <c r="G4">
        <f>IF('Raw Data'!G4&lt;&gt;"",'Raw Data'!G4,IFERROR(ROUND(E4*F4,2),""))</f>
        <v>3200</v>
      </c>
      <c r="H4" t="str">
        <f>'Raw Data'!H4</f>
        <v>Cash</v>
      </c>
      <c r="I4" t="str">
        <f>IF('Raw Data'!D4="",IF(D4="Unknown","Could not recover","Filled from Price lookup"),IF(TRIM('Raw Data'!D4)&lt;&gt;'Raw Data'!D4,"Trimmed whitespace","OK"))</f>
        <v>Filled from Price lookup</v>
      </c>
      <c r="J4" t="str">
        <f t="shared" si="0"/>
        <v>OK</v>
      </c>
    </row>
    <row r="5" spans="1:10">
      <c r="A5" t="str">
        <f>'Raw Data'!A5</f>
        <v>TXN_1350</v>
      </c>
      <c r="B5" s="1">
        <f>'Raw Data'!B5</f>
        <v>45829</v>
      </c>
      <c r="C5" t="str">
        <f>IFERROR(INDEX('Reference Table'!$C$2:$C$46,MATCH(D5,'Reference Table'!$A$2:$A$46,0)),"Unknown")</f>
        <v>Milk Products</v>
      </c>
      <c r="D5" t="str">
        <f t="array" ref="D5">IF(TRIM('Raw Data'!D5)&lt;&gt;"",TRIM('Raw Data'!D5),IFERROR(INDEX('Reference Table'!$A$2:$A$46,MATCH(VALUE('Raw Data'!E5),VALUE('Reference Table'!$B$2:$B$46),0)),"Unknown"))</f>
        <v>Milk_Butter_500g</v>
      </c>
      <c r="E5">
        <f>IF('Raw Data'!E5&lt;&gt;"",'Raw Data'!E5,IFERROR(INDEX('Reference Table'!$B$2:$B$32,MATCH(D5,'Reference Table'!$A$2:$A$32,0)),""))</f>
        <v>250</v>
      </c>
      <c r="F5">
        <f>IF('Raw Data'!F5&lt;&gt;"",'Raw Data'!F5,IFERROR(ROUND('Raw Data'!G5/E5,0),""))</f>
        <v>6</v>
      </c>
      <c r="G5">
        <f>IF('Raw Data'!G5&lt;&gt;"",'Raw Data'!G5,IFERROR(ROUND(E5*F5,2),""))</f>
        <v>1500</v>
      </c>
      <c r="H5" t="str">
        <f>'Raw Data'!H5</f>
        <v>Cash</v>
      </c>
      <c r="I5" t="str">
        <f>IF('Raw Data'!D5="",IF(D5="Unknown","Could not recover","Filled from Price lookup"),IF(TRIM('Raw Data'!D5)&lt;&gt;'Raw Data'!D5,"Trimmed whitespace","OK"))</f>
        <v>OK</v>
      </c>
      <c r="J5" t="str">
        <f t="shared" si="0"/>
        <v>OK</v>
      </c>
    </row>
    <row r="6" spans="1:10">
      <c r="A6" t="str">
        <f>'Raw Data'!A6</f>
        <v>TXN_1406</v>
      </c>
      <c r="B6" s="1">
        <f>'Raw Data'!B6</f>
        <v>45878</v>
      </c>
      <c r="C6" t="str">
        <f>IFERROR(INDEX('Reference Table'!$C$2:$C$46,MATCH(D6,'Reference Table'!$A$2:$A$46,0)),"Unknown")</f>
        <v>Butchers</v>
      </c>
      <c r="D6" t="str">
        <f t="array" ref="D6">IF(TRIM('Raw Data'!D6)&lt;&gt;"",TRIM('Raw Data'!D6),IFERROR(INDEX('Reference Table'!$A$2:$A$46,MATCH(VALUE('Raw Data'!E6),VALUE('Reference Table'!$B$2:$B$46),0)),"Unknown"))</f>
        <v>Meat_Chicken_1kg</v>
      </c>
      <c r="E6">
        <f>IF('Raw Data'!E6&lt;&gt;"",'Raw Data'!E6,IFERROR(INDEX('Reference Table'!$B$2:$B$32,MATCH(D6,'Reference Table'!$A$2:$A$32,0)),""))</f>
        <v>220</v>
      </c>
      <c r="F6">
        <f>IF('Raw Data'!F6&lt;&gt;"",'Raw Data'!F6,IFERROR(ROUND('Raw Data'!G6/E6,0),""))</f>
        <v>6</v>
      </c>
      <c r="G6">
        <f>IF('Raw Data'!G6&lt;&gt;"",'Raw Data'!G6,IFERROR(ROUND(E6*F6,2),""))</f>
        <v>1320</v>
      </c>
      <c r="H6" t="str">
        <f>'Raw Data'!H6</f>
        <v>Debit Card</v>
      </c>
      <c r="I6" t="str">
        <f>IF('Raw Data'!D6="",IF(D6="Unknown","Could not recover","Filled from Price lookup"),IF(TRIM('Raw Data'!D6)&lt;&gt;'Raw Data'!D6,"Trimmed whitespace","OK"))</f>
        <v>OK</v>
      </c>
      <c r="J6" t="str">
        <f t="shared" si="0"/>
        <v>OK</v>
      </c>
    </row>
    <row r="7" spans="1:10">
      <c r="A7" t="str">
        <f>'Raw Data'!A7</f>
        <v>TXN_1494</v>
      </c>
      <c r="B7" s="1">
        <f>'Raw Data'!B7</f>
        <v>45866</v>
      </c>
      <c r="C7" t="str">
        <f>IFERROR(INDEX('Reference Table'!$C$2:$C$46,MATCH(D7,'Reference Table'!$A$2:$A$46,0)),"Unknown")</f>
        <v>Patisserie</v>
      </c>
      <c r="D7" t="str">
        <f t="array" ref="D7">IF(TRIM('Raw Data'!D7)&lt;&gt;"",TRIM('Raw Data'!D7),IFERROR(INDEX('Reference Table'!$A$2:$A$46,MATCH(VALUE('Raw Data'!E7),VALUE('Reference Table'!$B$2:$B$46),0)),"Unknown"))</f>
        <v>Pat_Cake_Slice</v>
      </c>
      <c r="E7">
        <f>IF('Raw Data'!E7&lt;&gt;"",'Raw Data'!E7,IFERROR(INDEX('Reference Table'!$B$2:$B$32,MATCH(D7,'Reference Table'!$A$2:$A$32,0)),""))</f>
        <v>90</v>
      </c>
      <c r="F7">
        <f>IF('Raw Data'!F7&lt;&gt;"",'Raw Data'!F7,IFERROR(ROUND('Raw Data'!G7/E7,0),""))</f>
        <v>2</v>
      </c>
      <c r="G7">
        <f>IF('Raw Data'!G7&lt;&gt;"",'Raw Data'!G7,IFERROR(ROUND(E7*F7,2),""))</f>
        <v>180</v>
      </c>
      <c r="H7" t="str">
        <f>'Raw Data'!H7</f>
        <v>Debit Card</v>
      </c>
      <c r="I7" t="str">
        <f>IF('Raw Data'!D7="",IF(D7="Unknown","Could not recover","Filled from Price lookup"),IF(TRIM('Raw Data'!D7)&lt;&gt;'Raw Data'!D7,"Trimmed whitespace","OK"))</f>
        <v>OK</v>
      </c>
      <c r="J7" t="str">
        <f t="shared" si="0"/>
        <v>OK</v>
      </c>
    </row>
    <row r="8" spans="1:10">
      <c r="A8" t="str">
        <f>'Raw Data'!A8</f>
        <v>TXN_1547</v>
      </c>
      <c r="B8" s="1">
        <f>'Raw Data'!B8</f>
        <v>45705</v>
      </c>
      <c r="C8" t="str">
        <f>IFERROR(INDEX('Reference Table'!$C$2:$C$46,MATCH(D8,'Reference Table'!$A$2:$A$46,0)),"Unknown")</f>
        <v>Butchers</v>
      </c>
      <c r="D8" t="str">
        <f t="array" ref="D8">IF(TRIM('Raw Data'!D8)&lt;&gt;"",TRIM('Raw Data'!D8),IFERROR(INDEX('Reference Table'!$A$2:$A$46,MATCH(VALUE('Raw Data'!E8),VALUE('Reference Table'!$B$2:$B$46),0)),"Unknown"))</f>
        <v>Meat_Bacon_250g</v>
      </c>
      <c r="E8">
        <f>IF('Raw Data'!E8&lt;&gt;"",'Raw Data'!E8,IFERROR(INDEX('Reference Table'!$B$2:$B$32,MATCH(D8,'Reference Table'!$A$2:$A$32,0)),""))</f>
        <v>190</v>
      </c>
      <c r="F8">
        <f>IF('Raw Data'!F8&lt;&gt;"",'Raw Data'!F8,IFERROR(ROUND('Raw Data'!G8/E8,0),""))</f>
        <v>4</v>
      </c>
      <c r="G8">
        <f>IF('Raw Data'!G8&lt;&gt;"",'Raw Data'!G8,IFERROR(ROUND(E8*F8,2),""))</f>
        <v>760</v>
      </c>
      <c r="H8" t="str">
        <f>'Raw Data'!H8</f>
        <v>Mobile Payment</v>
      </c>
      <c r="I8" t="str">
        <f>IF('Raw Data'!D8="",IF(D8="Unknown","Could not recover","Filled from Price lookup"),IF(TRIM('Raw Data'!D8)&lt;&gt;'Raw Data'!D8,"Trimmed whitespace","OK"))</f>
        <v>Filled from Price lookup</v>
      </c>
      <c r="J8" t="str">
        <f t="shared" si="0"/>
        <v>OK</v>
      </c>
    </row>
    <row r="9" spans="1:10">
      <c r="A9" t="str">
        <f>'Raw Data'!A9</f>
        <v>TXN_1498</v>
      </c>
      <c r="B9" s="1">
        <f>'Raw Data'!B9</f>
        <v>45784</v>
      </c>
      <c r="C9" t="str">
        <f>IFERROR(INDEX('Reference Table'!$C$2:$C$46,MATCH(D9,'Reference Table'!$A$2:$A$46,0)),"Unknown")</f>
        <v>Electric Accessories</v>
      </c>
      <c r="D9" t="str">
        <f t="array" ref="D9">IF(TRIM('Raw Data'!D9)&lt;&gt;"",TRIM('Raw Data'!D9),IFERROR(INDEX('Reference Table'!$A$2:$A$46,MATCH(VALUE('Raw Data'!E9),VALUE('Reference Table'!$B$2:$B$46),0)),"Unknown"))</f>
        <v>Elec_Earphones</v>
      </c>
      <c r="E9">
        <f>IF('Raw Data'!E9&lt;&gt;"",'Raw Data'!E9,IFERROR(INDEX('Reference Table'!$B$2:$B$32,MATCH(D9,'Reference Table'!$A$2:$A$32,0)),""))</f>
        <v>350</v>
      </c>
      <c r="F9">
        <f>IF('Raw Data'!F9&lt;&gt;"",'Raw Data'!F9,IFERROR(ROUND('Raw Data'!G9/E9,0),""))</f>
        <v>5</v>
      </c>
      <c r="G9">
        <f>IF('Raw Data'!G9&lt;&gt;"",'Raw Data'!G9,IFERROR(ROUND(E9*F9,2),""))</f>
        <v>1750</v>
      </c>
      <c r="H9" t="str">
        <f>'Raw Data'!H9</f>
        <v>Cash</v>
      </c>
      <c r="I9" t="str">
        <f>IF('Raw Data'!D9="",IF(D9="Unknown","Could not recover","Filled from Price lookup"),IF(TRIM('Raw Data'!D9)&lt;&gt;'Raw Data'!D9,"Trimmed whitespace","OK"))</f>
        <v>OK</v>
      </c>
      <c r="J9" t="str">
        <f t="shared" si="0"/>
        <v>OK</v>
      </c>
    </row>
    <row r="10" spans="1:10">
      <c r="A10" t="str">
        <f>'Raw Data'!A10</f>
        <v>TXN_1143</v>
      </c>
      <c r="B10" s="1">
        <f>'Raw Data'!B10</f>
        <v>45740</v>
      </c>
      <c r="C10" t="str">
        <f>IFERROR(INDEX('Reference Table'!$C$2:$C$46,MATCH(D10,'Reference Table'!$A$2:$A$46,0)),"Unknown")</f>
        <v>Furniture</v>
      </c>
      <c r="D10" t="str">
        <f t="array" ref="D10">IF(TRIM('Raw Data'!D10)&lt;&gt;"",TRIM('Raw Data'!D10),IFERROR(INDEX('Reference Table'!$A$2:$A$46,MATCH(VALUE('Raw Data'!E10),VALUE('Reference Table'!$B$2:$B$46),0)),"Unknown"))</f>
        <v>Furn_Lamp</v>
      </c>
      <c r="E10">
        <f>IF('Raw Data'!E10&lt;&gt;"",'Raw Data'!E10,IFERROR(INDEX('Reference Table'!$B$2:$B$32,MATCH(D10,'Reference Table'!$A$2:$A$32,0)),""))</f>
        <v>700</v>
      </c>
      <c r="F10">
        <f>IF('Raw Data'!F10&lt;&gt;"",'Raw Data'!F10,IFERROR(ROUND('Raw Data'!G10/E10,0),""))</f>
        <v>3</v>
      </c>
      <c r="G10">
        <f>IF('Raw Data'!G10&lt;&gt;"",'Raw Data'!G10,IFERROR(ROUND(E10*F10,2),""))</f>
        <v>2100</v>
      </c>
      <c r="H10" t="str">
        <f>'Raw Data'!H10</f>
        <v>Credit Card</v>
      </c>
      <c r="I10" t="str">
        <f>IF('Raw Data'!D10="",IF(D10="Unknown","Could not recover","Filled from Price lookup"),IF(TRIM('Raw Data'!D10)&lt;&gt;'Raw Data'!D10,"Trimmed whitespace","OK"))</f>
        <v>OK</v>
      </c>
      <c r="J10" t="str">
        <f t="shared" si="0"/>
        <v>OK</v>
      </c>
    </row>
    <row r="11" spans="1:10">
      <c r="A11" t="str">
        <f>'Raw Data'!A11</f>
        <v>TXN_1092</v>
      </c>
      <c r="B11" s="1">
        <f>'Raw Data'!B11</f>
        <v>45893</v>
      </c>
      <c r="C11" t="str">
        <f>IFERROR(INDEX('Reference Table'!$C$2:$C$46,MATCH(D11,'Reference Table'!$A$2:$A$46,0)),"Unknown")</f>
        <v>Beverages</v>
      </c>
      <c r="D11" t="str">
        <f t="array" ref="D11">IF(TRIM('Raw Data'!D11)&lt;&gt;"",TRIM('Raw Data'!D11),IFERROR(INDEX('Reference Table'!$A$2:$A$46,MATCH(VALUE('Raw Data'!E11),VALUE('Reference Table'!$B$2:$B$46),0)),"Unknown"))</f>
        <v>Bev_Tea_100g</v>
      </c>
      <c r="E11">
        <f>IF('Raw Data'!E11&lt;&gt;"",'Raw Data'!E11,IFERROR(INDEX('Reference Table'!$B$2:$B$32,MATCH(D11,'Reference Table'!$A$2:$A$32,0)),""))</f>
        <v>90</v>
      </c>
      <c r="F11">
        <f>IF('Raw Data'!F11&lt;&gt;"",'Raw Data'!F11,IFERROR(ROUND('Raw Data'!G11/E11,0),""))</f>
        <v>6</v>
      </c>
      <c r="G11">
        <f>IF('Raw Data'!G11&lt;&gt;"",'Raw Data'!G11,IFERROR(ROUND(E11*F11,2),""))</f>
        <v>540</v>
      </c>
      <c r="H11" t="str">
        <f>'Raw Data'!H11</f>
        <v>Debit Card</v>
      </c>
      <c r="I11" t="str">
        <f>IF('Raw Data'!D11="",IF(D11="Unknown","Could not recover","Filled from Price lookup"),IF(TRIM('Raw Data'!D11)&lt;&gt;'Raw Data'!D11,"Trimmed whitespace","OK"))</f>
        <v>OK</v>
      </c>
      <c r="J11" t="str">
        <f t="shared" si="0"/>
        <v>OK</v>
      </c>
    </row>
    <row r="12" spans="1:10">
      <c r="A12" t="str">
        <f>'Raw Data'!A12</f>
        <v>TXN_1540</v>
      </c>
      <c r="B12" s="1">
        <f>'Raw Data'!B12</f>
        <v>45734</v>
      </c>
      <c r="C12" t="str">
        <f>IFERROR(INDEX('Reference Table'!$C$2:$C$46,MATCH(D12,'Reference Table'!$A$2:$A$46,0)),"Unknown")</f>
        <v>Electric Accessories</v>
      </c>
      <c r="D12" t="str">
        <f t="array" ref="D12">IF(TRIM('Raw Data'!D12)&lt;&gt;"",TRIM('Raw Data'!D12),IFERROR(INDEX('Reference Table'!$A$2:$A$46,MATCH(VALUE('Raw Data'!E12),VALUE('Reference Table'!$B$2:$B$46),0)),"Unknown"))</f>
        <v>Elec_Cable_USB</v>
      </c>
      <c r="E12">
        <f>IF('Raw Data'!E12&lt;&gt;"",'Raw Data'!E12,IFERROR(INDEX('Reference Table'!$B$2:$B$32,MATCH(D12,'Reference Table'!$A$2:$A$32,0)),""))</f>
        <v>150</v>
      </c>
      <c r="F12">
        <f>IF('Raw Data'!F12&lt;&gt;"",'Raw Data'!F12,IFERROR(ROUND('Raw Data'!G12/E12,0),""))</f>
        <v>1</v>
      </c>
      <c r="G12">
        <f>IF('Raw Data'!G12&lt;&gt;"",'Raw Data'!G12,IFERROR(ROUND(E12*F12,2),""))</f>
        <v>150</v>
      </c>
      <c r="H12" t="str">
        <f>'Raw Data'!H12</f>
        <v>Credit Card</v>
      </c>
      <c r="I12" t="str">
        <f>IF('Raw Data'!D12="",IF(D12="Unknown","Could not recover","Filled from Price lookup"),IF(TRIM('Raw Data'!D12)&lt;&gt;'Raw Data'!D12,"Trimmed whitespace","OK"))</f>
        <v>OK</v>
      </c>
      <c r="J12" t="str">
        <f t="shared" si="0"/>
        <v>OK</v>
      </c>
    </row>
    <row r="13" spans="1:10">
      <c r="A13" t="str">
        <f>'Raw Data'!A13</f>
        <v>TXN_1574</v>
      </c>
      <c r="B13" s="1">
        <f>'Raw Data'!B13</f>
        <v>45894</v>
      </c>
      <c r="C13" t="str">
        <f>IFERROR(INDEX('Reference Table'!$C$2:$C$46,MATCH(D13,'Reference Table'!$A$2:$A$46,0)),"Unknown")</f>
        <v>Computers</v>
      </c>
      <c r="D13" t="str">
        <f t="array" ref="D13">IF(TRIM('Raw Data'!D13)&lt;&gt;"",TRIM('Raw Data'!D13),IFERROR(INDEX('Reference Table'!$A$2:$A$46,MATCH(VALUE('Raw Data'!E13),VALUE('Reference Table'!$B$2:$B$46),0)),"Unknown"))</f>
        <v>Comp_Webcam</v>
      </c>
      <c r="E13">
        <f>IF('Raw Data'!E13&lt;&gt;"",'Raw Data'!E13,IFERROR(INDEX('Reference Table'!$B$2:$B$32,MATCH(D13,'Reference Table'!$A$2:$A$32,0)),""))</f>
        <v>1200</v>
      </c>
      <c r="F13">
        <f>IF('Raw Data'!F13&lt;&gt;"",'Raw Data'!F13,IFERROR(ROUND('Raw Data'!G13/E13,0),""))</f>
        <v>5</v>
      </c>
      <c r="G13">
        <f>IF('Raw Data'!G13&lt;&gt;"",'Raw Data'!G13,IFERROR(ROUND(E13*F13,2),""))</f>
        <v>6000</v>
      </c>
      <c r="H13" t="str">
        <f>'Raw Data'!H13</f>
        <v>Mobile Payment</v>
      </c>
      <c r="I13" t="str">
        <f>IF('Raw Data'!D13="",IF(D13="Unknown","Could not recover","Filled from Price lookup"),IF(TRIM('Raw Data'!D13)&lt;&gt;'Raw Data'!D13,"Trimmed whitespace","OK"))</f>
        <v>OK</v>
      </c>
      <c r="J13" t="str">
        <f t="shared" si="0"/>
        <v>OK</v>
      </c>
    </row>
    <row r="14" spans="1:10">
      <c r="A14" t="str">
        <f>'Raw Data'!A14</f>
        <v>TXN_1014</v>
      </c>
      <c r="B14" s="1">
        <f>'Raw Data'!B14</f>
        <v>45897</v>
      </c>
      <c r="C14" t="str">
        <f>IFERROR(INDEX('Reference Table'!$C$2:$C$46,MATCH(D14,'Reference Table'!$A$2:$A$46,0)),"Unknown")</f>
        <v>Patisserie</v>
      </c>
      <c r="D14" t="str">
        <f t="array" ref="D14">IF(TRIM('Raw Data'!D14)&lt;&gt;"",TRIM('Raw Data'!D14),IFERROR(INDEX('Reference Table'!$A$2:$A$46,MATCH(VALUE('Raw Data'!E14),VALUE('Reference Table'!$B$2:$B$46),0)),"Unknown"))</f>
        <v>Pat_Donut</v>
      </c>
      <c r="E14">
        <f>IF('Raw Data'!E14&lt;&gt;"",'Raw Data'!E14,IFERROR(INDEX('Reference Table'!$B$2:$B$32,MATCH(D14,'Reference Table'!$A$2:$A$32,0)),""))</f>
        <v>30</v>
      </c>
      <c r="F14">
        <f>IF('Raw Data'!F14&lt;&gt;"",'Raw Data'!F14,IFERROR(ROUND('Raw Data'!G14/E14,0),""))</f>
        <v>6</v>
      </c>
      <c r="G14">
        <f>IF('Raw Data'!G14&lt;&gt;"",'Raw Data'!G14,IFERROR(ROUND(E14*F14,2),""))</f>
        <v>180</v>
      </c>
      <c r="H14" t="str">
        <f>'Raw Data'!H14</f>
        <v>Cash</v>
      </c>
      <c r="I14" t="str">
        <f>IF('Raw Data'!D14="",IF(D14="Unknown","Could not recover","Filled from Price lookup"),IF(TRIM('Raw Data'!D14)&lt;&gt;'Raw Data'!D14,"Trimmed whitespace","OK"))</f>
        <v>OK</v>
      </c>
      <c r="J14" t="str">
        <f t="shared" si="0"/>
        <v>OK</v>
      </c>
    </row>
    <row r="15" spans="1:10">
      <c r="A15" t="str">
        <f>'Raw Data'!A15</f>
        <v>TXN_1543</v>
      </c>
      <c r="B15" s="1">
        <f>'Raw Data'!B15</f>
        <v>45683</v>
      </c>
      <c r="C15" t="str">
        <f>IFERROR(INDEX('Reference Table'!$C$2:$C$46,MATCH(D15,'Reference Table'!$A$2:$A$46,0)),"Unknown")</f>
        <v>Butchers</v>
      </c>
      <c r="D15" t="str">
        <f t="array" ref="D15">IF(TRIM('Raw Data'!D15)&lt;&gt;"",TRIM('Raw Data'!D15),IFERROR(INDEX('Reference Table'!$A$2:$A$46,MATCH(VALUE('Raw Data'!E15),VALUE('Reference Table'!$B$2:$B$46),0)),"Unknown"))</f>
        <v>Meat_Fish_1kg</v>
      </c>
      <c r="E15">
        <f>IF('Raw Data'!E15&lt;&gt;"",'Raw Data'!E15,IFERROR(INDEX('Reference Table'!$B$2:$B$32,MATCH(D15,'Reference Table'!$A$2:$A$32,0)),""))</f>
        <v>380</v>
      </c>
      <c r="F15">
        <f>IF('Raw Data'!F15&lt;&gt;"",'Raw Data'!F15,IFERROR(ROUND('Raw Data'!G15/E15,0),""))</f>
        <v>1</v>
      </c>
      <c r="G15">
        <f>IF('Raw Data'!G15&lt;&gt;"",'Raw Data'!G15,IFERROR(ROUND(E15*F15,2),""))</f>
        <v>380</v>
      </c>
      <c r="H15" t="str">
        <f>'Raw Data'!H15</f>
        <v>Mobile Payment</v>
      </c>
      <c r="I15" t="str">
        <f>IF('Raw Data'!D15="",IF(D15="Unknown","Could not recover","Filled from Price lookup"),IF(TRIM('Raw Data'!D15)&lt;&gt;'Raw Data'!D15,"Trimmed whitespace","OK"))</f>
        <v>OK</v>
      </c>
      <c r="J15" t="str">
        <f t="shared" si="0"/>
        <v>OK</v>
      </c>
    </row>
    <row r="16" spans="1:10">
      <c r="A16" t="str">
        <f>'Raw Data'!A16</f>
        <v>TXN_1086</v>
      </c>
      <c r="B16" s="1">
        <f>'Raw Data'!B16</f>
        <v>45855</v>
      </c>
      <c r="C16" t="str">
        <f>IFERROR(INDEX('Reference Table'!$C$2:$C$46,MATCH(D16,'Reference Table'!$A$2:$A$46,0)),"Unknown")</f>
        <v>Patisserie</v>
      </c>
      <c r="D16" t="str">
        <f t="array" ref="D16">IF(TRIM('Raw Data'!D16)&lt;&gt;"",TRIM('Raw Data'!D16),IFERROR(INDEX('Reference Table'!$A$2:$A$46,MATCH(VALUE('Raw Data'!E16),VALUE('Reference Table'!$B$2:$B$46),0)),"Unknown"))</f>
        <v>Pat_Donut</v>
      </c>
      <c r="E16">
        <f>IF('Raw Data'!E16&lt;&gt;"",'Raw Data'!E16,IFERROR(INDEX('Reference Table'!$B$2:$B$32,MATCH(D16,'Reference Table'!$A$2:$A$32,0)),""))</f>
        <v>30</v>
      </c>
      <c r="F16">
        <f>IF('Raw Data'!F16&lt;&gt;"",'Raw Data'!F16,IFERROR(ROUND('Raw Data'!G16/E16,0),""))</f>
        <v>1</v>
      </c>
      <c r="G16">
        <f>IF('Raw Data'!G16&lt;&gt;"",'Raw Data'!G16,IFERROR(ROUND(E16*F16,2),""))</f>
        <v>45</v>
      </c>
      <c r="H16" t="str">
        <f>'Raw Data'!H16</f>
        <v>Debit Card</v>
      </c>
      <c r="I16" t="str">
        <f>IF('Raw Data'!D16="",IF(D16="Unknown","Could not recover","Filled from Price lookup"),IF(TRIM('Raw Data'!D16)&lt;&gt;'Raw Data'!D16,"Trimmed whitespace","OK"))</f>
        <v>OK</v>
      </c>
      <c r="J16" t="str">
        <f t="shared" si="0"/>
        <v>Mismatch</v>
      </c>
    </row>
    <row r="17" spans="1:10">
      <c r="A17" t="str">
        <f>'Raw Data'!A17</f>
        <v>TXN_1053</v>
      </c>
      <c r="B17" s="1">
        <f>'Raw Data'!B17</f>
        <v>45712</v>
      </c>
      <c r="C17" t="str">
        <f>IFERROR(INDEX('Reference Table'!$C$2:$C$46,MATCH(D17,'Reference Table'!$A$2:$A$46,0)),"Unknown")</f>
        <v>Computers</v>
      </c>
      <c r="D17" t="str">
        <f t="array" ref="D17">IF(TRIM('Raw Data'!D17)&lt;&gt;"",TRIM('Raw Data'!D17),IFERROR(INDEX('Reference Table'!$A$2:$A$46,MATCH(VALUE('Raw Data'!E17),VALUE('Reference Table'!$B$2:$B$46),0)),"Unknown"))</f>
        <v>Comp_Keyboard</v>
      </c>
      <c r="E17">
        <f>IF('Raw Data'!E17&lt;&gt;"",'Raw Data'!E17,IFERROR(INDEX('Reference Table'!$B$2:$B$32,MATCH(D17,'Reference Table'!$A$2:$A$32,0)),""))</f>
        <v>800</v>
      </c>
      <c r="F17">
        <f>IF('Raw Data'!F17&lt;&gt;"",'Raw Data'!F17,IFERROR(ROUND('Raw Data'!G17/E17,0),""))</f>
        <v>4</v>
      </c>
      <c r="G17">
        <f>IF('Raw Data'!G17&lt;&gt;"",'Raw Data'!G17,IFERROR(ROUND(E17*F17,2),""))</f>
        <v>3200</v>
      </c>
      <c r="H17" t="str">
        <f>'Raw Data'!H17</f>
        <v>Mobile Payment</v>
      </c>
      <c r="I17" t="str">
        <f>IF('Raw Data'!D17="",IF(D17="Unknown","Could not recover","Filled from Price lookup"),IF(TRIM('Raw Data'!D17)&lt;&gt;'Raw Data'!D17,"Trimmed whitespace","OK"))</f>
        <v>OK</v>
      </c>
      <c r="J17" t="str">
        <f t="shared" si="0"/>
        <v>OK</v>
      </c>
    </row>
    <row r="18" spans="1:10">
      <c r="A18" t="str">
        <f>'Raw Data'!A18</f>
        <v>TXN_1490</v>
      </c>
      <c r="B18" s="1">
        <f>'Raw Data'!B18</f>
        <v>45854</v>
      </c>
      <c r="C18" t="str">
        <f>IFERROR(INDEX('Reference Table'!$C$2:$C$46,MATCH(D18,'Reference Table'!$A$2:$A$46,0)),"Unknown")</f>
        <v>Electric Accessories</v>
      </c>
      <c r="D18" t="str">
        <f t="array" ref="D18">IF(TRIM('Raw Data'!D18)&lt;&gt;"",TRIM('Raw Data'!D18),IFERROR(INDEX('Reference Table'!$A$2:$A$46,MATCH(VALUE('Raw Data'!E18),VALUE('Reference Table'!$B$2:$B$46),0)),"Unknown"))</f>
        <v>Elec_Charger</v>
      </c>
      <c r="E18">
        <f>IF('Raw Data'!E18&lt;&gt;"",'Raw Data'!E18,IFERROR(INDEX('Reference Table'!$B$2:$B$32,MATCH(D18,'Reference Table'!$A$2:$A$32,0)),""))</f>
        <v>400</v>
      </c>
      <c r="F18">
        <f>IF('Raw Data'!F18&lt;&gt;"",'Raw Data'!F18,IFERROR(ROUND('Raw Data'!G18/E18,0),""))</f>
        <v>5</v>
      </c>
      <c r="G18">
        <f>IF('Raw Data'!G18&lt;&gt;"",'Raw Data'!G18,IFERROR(ROUND(E18*F18,2),""))</f>
        <v>2000</v>
      </c>
      <c r="H18" t="str">
        <f>'Raw Data'!H18</f>
        <v>Cash</v>
      </c>
      <c r="I18" t="str">
        <f>IF('Raw Data'!D18="",IF(D18="Unknown","Could not recover","Filled from Price lookup"),IF(TRIM('Raw Data'!D18)&lt;&gt;'Raw Data'!D18,"Trimmed whitespace","OK"))</f>
        <v>OK</v>
      </c>
      <c r="J18" t="str">
        <f t="shared" si="0"/>
        <v>OK</v>
      </c>
    </row>
    <row r="19" spans="1:10">
      <c r="A19" t="str">
        <f>'Raw Data'!A19</f>
        <v>TXN_1207</v>
      </c>
      <c r="B19" s="1">
        <f>'Raw Data'!B19</f>
        <v>45792</v>
      </c>
      <c r="C19" t="str">
        <f>IFERROR(INDEX('Reference Table'!$C$2:$C$46,MATCH(D19,'Reference Table'!$A$2:$A$46,0)),"Unknown")</f>
        <v>Patisserie</v>
      </c>
      <c r="D19" t="str">
        <f t="array" ref="D19">IF(TRIM('Raw Data'!D19)&lt;&gt;"",TRIM('Raw Data'!D19),IFERROR(INDEX('Reference Table'!$A$2:$A$46,MATCH(VALUE('Raw Data'!E19),VALUE('Reference Table'!$B$2:$B$46),0)),"Unknown"))</f>
        <v>Pat_Cake_Slice</v>
      </c>
      <c r="E19">
        <f>IF('Raw Data'!E19&lt;&gt;"",'Raw Data'!E19,IFERROR(INDEX('Reference Table'!$B$2:$B$32,MATCH(D19,'Reference Table'!$A$2:$A$32,0)),""))</f>
        <v>90</v>
      </c>
      <c r="F19">
        <f>IF('Raw Data'!F19&lt;&gt;"",'Raw Data'!F19,IFERROR(ROUND('Raw Data'!G19/E19,0),""))</f>
        <v>1</v>
      </c>
      <c r="G19">
        <f>IF('Raw Data'!G19&lt;&gt;"",'Raw Data'!G19,IFERROR(ROUND(E19*F19,2),""))</f>
        <v>90</v>
      </c>
      <c r="H19" t="str">
        <f>'Raw Data'!H19</f>
        <v>Mobile Payment</v>
      </c>
      <c r="I19" t="str">
        <f>IF('Raw Data'!D19="",IF(D19="Unknown","Could not recover","Filled from Price lookup"),IF(TRIM('Raw Data'!D19)&lt;&gt;'Raw Data'!D19,"Trimmed whitespace","OK"))</f>
        <v>Filled from Price lookup</v>
      </c>
      <c r="J19" t="str">
        <f t="shared" si="0"/>
        <v>OK</v>
      </c>
    </row>
    <row r="20" spans="1:10">
      <c r="A20" t="str">
        <f>'Raw Data'!A20</f>
        <v>TXN_1554</v>
      </c>
      <c r="B20" s="1">
        <f>'Raw Data'!B20</f>
        <v>45799</v>
      </c>
      <c r="C20" t="str">
        <f>IFERROR(INDEX('Reference Table'!$C$2:$C$46,MATCH(D20,'Reference Table'!$A$2:$A$46,0)),"Unknown")</f>
        <v>Food</v>
      </c>
      <c r="D20" t="str">
        <f t="array" ref="D20">IF(TRIM('Raw Data'!D20)&lt;&gt;"",TRIM('Raw Data'!D20),IFERROR(INDEX('Reference Table'!$A$2:$A$46,MATCH(VALUE('Raw Data'!E20),VALUE('Reference Table'!$B$2:$B$46),0)),"Unknown"))</f>
        <v>Food_Rice_1kg</v>
      </c>
      <c r="E20">
        <f>IF('Raw Data'!E20&lt;&gt;"",'Raw Data'!E20,IFERROR(INDEX('Reference Table'!$B$2:$B$32,MATCH(D20,'Reference Table'!$A$2:$A$32,0)),""))</f>
        <v>70</v>
      </c>
      <c r="F20">
        <f>IF('Raw Data'!F20&lt;&gt;"",'Raw Data'!F20,IFERROR(ROUND('Raw Data'!G20/E20,0),""))</f>
        <v>3</v>
      </c>
      <c r="G20">
        <f>IF('Raw Data'!G20&lt;&gt;"",'Raw Data'!G20,IFERROR(ROUND(E20*F20,2),""))</f>
        <v>210</v>
      </c>
      <c r="H20" t="str">
        <f>'Raw Data'!H20</f>
        <v>Cash</v>
      </c>
      <c r="I20" t="str">
        <f>IF('Raw Data'!D20="",IF(D20="Unknown","Could not recover","Filled from Price lookup"),IF(TRIM('Raw Data'!D20)&lt;&gt;'Raw Data'!D20,"Trimmed whitespace","OK"))</f>
        <v>OK</v>
      </c>
      <c r="J20" t="str">
        <f t="shared" si="0"/>
        <v>OK</v>
      </c>
    </row>
    <row r="21" spans="1:10">
      <c r="A21" t="str">
        <f>'Raw Data'!A21</f>
        <v>TXN_1544</v>
      </c>
      <c r="B21" s="1">
        <f>'Raw Data'!B21</f>
        <v>45812</v>
      </c>
      <c r="C21" t="str">
        <f>IFERROR(INDEX('Reference Table'!$C$2:$C$46,MATCH(D21,'Reference Table'!$A$2:$A$46,0)),"Unknown")</f>
        <v>Beverages</v>
      </c>
      <c r="D21" t="str">
        <f t="array" ref="D21">IF(TRIM('Raw Data'!D21)&lt;&gt;"",TRIM('Raw Data'!D21),IFERROR(INDEX('Reference Table'!$A$2:$A$46,MATCH(VALUE('Raw Data'!E21),VALUE('Reference Table'!$B$2:$B$46),0)),"Unknown"))</f>
        <v>Bev_Tea_100g</v>
      </c>
      <c r="E21">
        <f>IF('Raw Data'!E21&lt;&gt;"",'Raw Data'!E21,IFERROR(INDEX('Reference Table'!$B$2:$B$32,MATCH(D21,'Reference Table'!$A$2:$A$32,0)),""))</f>
        <v>90</v>
      </c>
      <c r="F21">
        <f>IF('Raw Data'!F21&lt;&gt;"",'Raw Data'!F21,IFERROR(ROUND('Raw Data'!G21/E21,0),""))</f>
        <v>3</v>
      </c>
      <c r="G21">
        <f>IF('Raw Data'!G21&lt;&gt;"",'Raw Data'!G21,IFERROR(ROUND(E21*F21,2),""))</f>
        <v>270</v>
      </c>
      <c r="H21" t="str">
        <f>'Raw Data'!H21</f>
        <v>Mobile Payment</v>
      </c>
      <c r="I21" t="str">
        <f>IF('Raw Data'!D21="",IF(D21="Unknown","Could not recover","Filled from Price lookup"),IF(TRIM('Raw Data'!D21)&lt;&gt;'Raw Data'!D21,"Trimmed whitespace","OK"))</f>
        <v>OK</v>
      </c>
      <c r="J21" t="str">
        <f t="shared" si="0"/>
        <v>OK</v>
      </c>
    </row>
    <row r="22" spans="1:10">
      <c r="A22" t="str">
        <f>'Raw Data'!A22</f>
        <v>TXN_1397</v>
      </c>
      <c r="B22" s="1">
        <f>'Raw Data'!B22</f>
        <v>45806</v>
      </c>
      <c r="C22" t="str">
        <f>IFERROR(INDEX('Reference Table'!$C$2:$C$46,MATCH(D22,'Reference Table'!$A$2:$A$46,0)),"Unknown")</f>
        <v>Milk Products</v>
      </c>
      <c r="D22" t="str">
        <f t="array" ref="D22">IF(TRIM('Raw Data'!D22)&lt;&gt;"",TRIM('Raw Data'!D22),IFERROR(INDEX('Reference Table'!$A$2:$A$46,MATCH(VALUE('Raw Data'!E22),VALUE('Reference Table'!$B$2:$B$46),0)),"Unknown"))</f>
        <v>Milk_Cheese_200g</v>
      </c>
      <c r="E22">
        <f>IF('Raw Data'!E22&lt;&gt;"",'Raw Data'!E22,IFERROR(INDEX('Reference Table'!$B$2:$B$32,MATCH(D22,'Reference Table'!$A$2:$A$32,0)),""))</f>
        <v>110</v>
      </c>
      <c r="F22">
        <f>IF('Raw Data'!F22&lt;&gt;"",'Raw Data'!F22,IFERROR(ROUND('Raw Data'!G22/E22,0),""))</f>
        <v>5</v>
      </c>
      <c r="G22">
        <f>IF('Raw Data'!G22&lt;&gt;"",'Raw Data'!G22,IFERROR(ROUND(E22*F22,2),""))</f>
        <v>550</v>
      </c>
      <c r="H22" t="str">
        <f>'Raw Data'!H22</f>
        <v>Credit Card</v>
      </c>
      <c r="I22" t="str">
        <f>IF('Raw Data'!D22="",IF(D22="Unknown","Could not recover","Filled from Price lookup"),IF(TRIM('Raw Data'!D22)&lt;&gt;'Raw Data'!D22,"Trimmed whitespace","OK"))</f>
        <v>OK</v>
      </c>
      <c r="J22" t="str">
        <f t="shared" si="0"/>
        <v>OK</v>
      </c>
    </row>
    <row r="23" spans="1:10">
      <c r="A23" t="str">
        <f>'Raw Data'!A23</f>
        <v>TXN_1372</v>
      </c>
      <c r="B23" s="1">
        <f>'Raw Data'!B23</f>
        <v>45694</v>
      </c>
      <c r="C23" t="str">
        <f>IFERROR(INDEX('Reference Table'!$C$2:$C$46,MATCH(D23,'Reference Table'!$A$2:$A$46,0)),"Unknown")</f>
        <v>Milk Products</v>
      </c>
      <c r="D23" t="str">
        <f t="array" ref="D23">IF(TRIM('Raw Data'!D23)&lt;&gt;"",TRIM('Raw Data'!D23),IFERROR(INDEX('Reference Table'!$A$2:$A$46,MATCH(VALUE('Raw Data'!E23),VALUE('Reference Table'!$B$2:$B$46),0)),"Unknown"))</f>
        <v>Milk_Cheese_200g</v>
      </c>
      <c r="E23">
        <f>IF('Raw Data'!E23&lt;&gt;"",'Raw Data'!E23,IFERROR(INDEX('Reference Table'!$B$2:$B$32,MATCH(D23,'Reference Table'!$A$2:$A$32,0)),""))</f>
        <v>110</v>
      </c>
      <c r="F23">
        <f>IF('Raw Data'!F23&lt;&gt;"",'Raw Data'!F23,IFERROR(ROUND('Raw Data'!G23/E23,0),""))</f>
        <v>1</v>
      </c>
      <c r="G23">
        <f>IF('Raw Data'!G23&lt;&gt;"",'Raw Data'!G23,IFERROR(ROUND(E23*F23,2),""))</f>
        <v>110</v>
      </c>
      <c r="H23" t="str">
        <f>'Raw Data'!H23</f>
        <v>Mobile Payment</v>
      </c>
      <c r="I23" t="str">
        <f>IF('Raw Data'!D23="",IF(D23="Unknown","Could not recover","Filled from Price lookup"),IF(TRIM('Raw Data'!D23)&lt;&gt;'Raw Data'!D23,"Trimmed whitespace","OK"))</f>
        <v>Filled from Price lookup</v>
      </c>
      <c r="J23" t="str">
        <f t="shared" si="0"/>
        <v>OK</v>
      </c>
    </row>
    <row r="24" spans="1:10">
      <c r="A24" t="str">
        <f>'Raw Data'!A24</f>
        <v>TXN_1224</v>
      </c>
      <c r="B24" s="1">
        <f>'Raw Data'!B24</f>
        <v>45870</v>
      </c>
      <c r="C24" t="str">
        <f>IFERROR(INDEX('Reference Table'!$C$2:$C$46,MATCH(D24,'Reference Table'!$A$2:$A$46,0)),"Unknown")</f>
        <v>Patisserie</v>
      </c>
      <c r="D24" t="str">
        <f t="array" ref="D24">IF(TRIM('Raw Data'!D24)&lt;&gt;"",TRIM('Raw Data'!D24),IFERROR(INDEX('Reference Table'!$A$2:$A$46,MATCH(VALUE('Raw Data'!E24),VALUE('Reference Table'!$B$2:$B$46),0)),"Unknown"))</f>
        <v>Pat_Cake_Slice</v>
      </c>
      <c r="E24">
        <f>IF('Raw Data'!E24&lt;&gt;"",'Raw Data'!E24,IFERROR(INDEX('Reference Table'!$B$2:$B$32,MATCH(D24,'Reference Table'!$A$2:$A$32,0)),""))</f>
        <v>90</v>
      </c>
      <c r="F24">
        <f>IF('Raw Data'!F24&lt;&gt;"",'Raw Data'!F24,IFERROR(ROUND('Raw Data'!G24/E24,0),""))</f>
        <v>1</v>
      </c>
      <c r="G24">
        <f>IF('Raw Data'!G24&lt;&gt;"",'Raw Data'!G24,IFERROR(ROUND(E24*F24,2),""))</f>
        <v>90</v>
      </c>
      <c r="H24" t="str">
        <f>'Raw Data'!H24</f>
        <v>Mobile Payment</v>
      </c>
      <c r="I24" t="str">
        <f>IF('Raw Data'!D24="",IF(D24="Unknown","Could not recover","Filled from Price lookup"),IF(TRIM('Raw Data'!D24)&lt;&gt;'Raw Data'!D24,"Trimmed whitespace","OK"))</f>
        <v>OK</v>
      </c>
      <c r="J24" t="str">
        <f t="shared" si="0"/>
        <v>OK</v>
      </c>
    </row>
    <row r="25" spans="1:10">
      <c r="A25" t="str">
        <f>'Raw Data'!A25</f>
        <v>TXN_1101</v>
      </c>
      <c r="B25" s="1">
        <f>'Raw Data'!B25</f>
        <v>45681</v>
      </c>
      <c r="C25" t="str">
        <f>IFERROR(INDEX('Reference Table'!$C$2:$C$46,MATCH(D25,'Reference Table'!$A$2:$A$46,0)),"Unknown")</f>
        <v>Furniture</v>
      </c>
      <c r="D25" t="str">
        <f t="array" ref="D25">IF(TRIM('Raw Data'!D25)&lt;&gt;"",TRIM('Raw Data'!D25),IFERROR(INDEX('Reference Table'!$A$2:$A$46,MATCH(VALUE('Raw Data'!E25),VALUE('Reference Table'!$B$2:$B$46),0)),"Unknown"))</f>
        <v>Furn_Cushion</v>
      </c>
      <c r="E25">
        <f>IF('Raw Data'!E25&lt;&gt;"",'Raw Data'!E25,IFERROR(INDEX('Reference Table'!$B$2:$B$32,MATCH(D25,'Reference Table'!$A$2:$A$32,0)),""))</f>
        <v>350</v>
      </c>
      <c r="F25">
        <f>IF('Raw Data'!F25&lt;&gt;"",'Raw Data'!F25,IFERROR(ROUND('Raw Data'!G25/E25,0),""))</f>
        <v>3</v>
      </c>
      <c r="G25">
        <f>IF('Raw Data'!G25&lt;&gt;"",'Raw Data'!G25,IFERROR(ROUND(E25*F25,2),""))</f>
        <v>1050</v>
      </c>
      <c r="H25" t="str">
        <f>'Raw Data'!H25</f>
        <v>Credit Card</v>
      </c>
      <c r="I25" t="str">
        <f>IF('Raw Data'!D25="",IF(D25="Unknown","Could not recover","Filled from Price lookup"),IF(TRIM('Raw Data'!D25)&lt;&gt;'Raw Data'!D25,"Trimmed whitespace","OK"))</f>
        <v>OK</v>
      </c>
      <c r="J25" t="str">
        <f t="shared" si="0"/>
        <v>OK</v>
      </c>
    </row>
    <row r="26" spans="1:10">
      <c r="A26" t="str">
        <f>'Raw Data'!A26</f>
        <v>TXN_1049</v>
      </c>
      <c r="B26" s="1">
        <f>'Raw Data'!B26</f>
        <v>45721</v>
      </c>
      <c r="C26" t="str">
        <f>IFERROR(INDEX('Reference Table'!$C$2:$C$46,MATCH(D26,'Reference Table'!$A$2:$A$46,0)),"Unknown")</f>
        <v>Butchers</v>
      </c>
      <c r="D26" t="str">
        <f t="array" ref="D26">IF(TRIM('Raw Data'!D26)&lt;&gt;"",TRIM('Raw Data'!D26),IFERROR(INDEX('Reference Table'!$A$2:$A$46,MATCH(VALUE('Raw Data'!E26),VALUE('Reference Table'!$B$2:$B$46),0)),"Unknown"))</f>
        <v>Meat_Mutton_1kg</v>
      </c>
      <c r="E26" t="str">
        <f>IF('Raw Data'!E26&lt;&gt;"",'Raw Data'!E26,IFERROR(INDEX('Reference Table'!$B$2:$B$32,MATCH(D26,'Reference Table'!$A$2:$A$32,0)),""))</f>
        <v/>
      </c>
      <c r="F26">
        <f>IF('Raw Data'!F26&lt;&gt;"",'Raw Data'!F26,IFERROR(ROUND('Raw Data'!G26/E26,0),""))</f>
        <v>1</v>
      </c>
      <c r="G26">
        <f>IF('Raw Data'!G26&lt;&gt;"",'Raw Data'!G26,IFERROR(ROUND(E26*F26,2),""))</f>
        <v>650</v>
      </c>
      <c r="H26" t="str">
        <f>'Raw Data'!H26</f>
        <v>Credit Card</v>
      </c>
      <c r="I26" t="str">
        <f>IF('Raw Data'!D26="",IF(D26="Unknown","Could not recover","Filled from Price lookup"),IF(TRIM('Raw Data'!D26)&lt;&gt;'Raw Data'!D26,"Trimmed whitespace","OK"))</f>
        <v>OK</v>
      </c>
      <c r="J26" t="str">
        <f t="shared" si="0"/>
        <v>Incomplete</v>
      </c>
    </row>
    <row r="27" spans="1:10">
      <c r="A27" t="str">
        <f>'Raw Data'!A27</f>
        <v>TXN_1528</v>
      </c>
      <c r="B27" s="1">
        <f>'Raw Data'!B27</f>
        <v>45685</v>
      </c>
      <c r="C27" t="str">
        <f>IFERROR(INDEX('Reference Table'!$C$2:$C$46,MATCH(D27,'Reference Table'!$A$2:$A$46,0)),"Unknown")</f>
        <v>Electric Accessories</v>
      </c>
      <c r="D27" t="str">
        <f t="array" ref="D27">IF(TRIM('Raw Data'!D27)&lt;&gt;"",TRIM('Raw Data'!D27),IFERROR(INDEX('Reference Table'!$A$2:$A$46,MATCH(VALUE('Raw Data'!E27),VALUE('Reference Table'!$B$2:$B$46),0)),"Unknown"))</f>
        <v>Elec_Earphones</v>
      </c>
      <c r="E27">
        <f>IF('Raw Data'!E27&lt;&gt;"",'Raw Data'!E27,IFERROR(INDEX('Reference Table'!$B$2:$B$32,MATCH(D27,'Reference Table'!$A$2:$A$32,0)),""))</f>
        <v>350</v>
      </c>
      <c r="F27">
        <f>IF('Raw Data'!F27&lt;&gt;"",'Raw Data'!F27,IFERROR(ROUND('Raw Data'!G27/E27,0),""))</f>
        <v>2</v>
      </c>
      <c r="G27">
        <f>IF('Raw Data'!G27&lt;&gt;"",'Raw Data'!G27,IFERROR(ROUND(E27*F27,2),""))</f>
        <v>700</v>
      </c>
      <c r="H27" t="str">
        <f>'Raw Data'!H27</f>
        <v>Cash</v>
      </c>
      <c r="I27" t="str">
        <f>IF('Raw Data'!D27="",IF(D27="Unknown","Could not recover","Filled from Price lookup"),IF(TRIM('Raw Data'!D27)&lt;&gt;'Raw Data'!D27,"Trimmed whitespace","OK"))</f>
        <v>OK</v>
      </c>
      <c r="J27" t="str">
        <f t="shared" si="0"/>
        <v>OK</v>
      </c>
    </row>
    <row r="28" spans="1:10">
      <c r="A28" t="str">
        <f>'Raw Data'!A28</f>
        <v>TXN_1166</v>
      </c>
      <c r="B28" s="1">
        <f>'Raw Data'!B28</f>
        <v>45856</v>
      </c>
      <c r="C28" t="str">
        <f>IFERROR(INDEX('Reference Table'!$C$2:$C$46,MATCH(D28,'Reference Table'!$A$2:$A$46,0)),"Unknown")</f>
        <v>Furniture</v>
      </c>
      <c r="D28" t="str">
        <f t="array" ref="D28">IF(TRIM('Raw Data'!D28)&lt;&gt;"",TRIM('Raw Data'!D28),IFERROR(INDEX('Reference Table'!$A$2:$A$46,MATCH(VALUE('Raw Data'!E28),VALUE('Reference Table'!$B$2:$B$46),0)),"Unknown"))</f>
        <v>Furn_Cushion</v>
      </c>
      <c r="E28">
        <f>IF('Raw Data'!E28&lt;&gt;"",'Raw Data'!E28,IFERROR(INDEX('Reference Table'!$B$2:$B$32,MATCH(D28,'Reference Table'!$A$2:$A$32,0)),""))</f>
        <v>350</v>
      </c>
      <c r="F28">
        <f>IF('Raw Data'!F28&lt;&gt;"",'Raw Data'!F28,IFERROR(ROUND('Raw Data'!G28/E28,0),""))</f>
        <v>2</v>
      </c>
      <c r="G28">
        <f>IF('Raw Data'!G28&lt;&gt;"",'Raw Data'!G28,IFERROR(ROUND(E28*F28,2),""))</f>
        <v>700</v>
      </c>
      <c r="H28" t="str">
        <f>'Raw Data'!H28</f>
        <v>Mobile Payment</v>
      </c>
      <c r="I28" t="str">
        <f>IF('Raw Data'!D28="",IF(D28="Unknown","Could not recover","Filled from Price lookup"),IF(TRIM('Raw Data'!D28)&lt;&gt;'Raw Data'!D28,"Trimmed whitespace","OK"))</f>
        <v>OK</v>
      </c>
      <c r="J28" t="str">
        <f t="shared" si="0"/>
        <v>OK</v>
      </c>
    </row>
    <row r="29" spans="1:10">
      <c r="A29" t="str">
        <f>'Raw Data'!A29</f>
        <v>TXN_1247</v>
      </c>
      <c r="B29" s="1">
        <f>'Raw Data'!B29</f>
        <v>45888</v>
      </c>
      <c r="C29" t="str">
        <f>IFERROR(INDEX('Reference Table'!$C$2:$C$46,MATCH(D29,'Reference Table'!$A$2:$A$46,0)),"Unknown")</f>
        <v>Butchers</v>
      </c>
      <c r="D29" t="str">
        <f t="array" ref="D29">IF(TRIM('Raw Data'!D29)&lt;&gt;"",TRIM('Raw Data'!D29),IFERROR(INDEX('Reference Table'!$A$2:$A$46,MATCH(VALUE('Raw Data'!E29),VALUE('Reference Table'!$B$2:$B$46),0)),"Unknown"))</f>
        <v>Meat_Eggs_Dozen</v>
      </c>
      <c r="E29">
        <f>IF('Raw Data'!E29&lt;&gt;"",'Raw Data'!E29,IFERROR(INDEX('Reference Table'!$B$2:$B$32,MATCH(D29,'Reference Table'!$A$2:$A$32,0)),""))</f>
        <v>75</v>
      </c>
      <c r="F29">
        <f>IF('Raw Data'!F29&lt;&gt;"",'Raw Data'!F29,IFERROR(ROUND('Raw Data'!G29/E29,0),""))</f>
        <v>5</v>
      </c>
      <c r="G29">
        <f>IF('Raw Data'!G29&lt;&gt;"",'Raw Data'!G29,IFERROR(ROUND(E29*F29,2),""))</f>
        <v>375</v>
      </c>
      <c r="H29" t="str">
        <f>'Raw Data'!H29</f>
        <v>Debit Card</v>
      </c>
      <c r="I29" t="str">
        <f>IF('Raw Data'!D29="",IF(D29="Unknown","Could not recover","Filled from Price lookup"),IF(TRIM('Raw Data'!D29)&lt;&gt;'Raw Data'!D29,"Trimmed whitespace","OK"))</f>
        <v>Filled from Price lookup</v>
      </c>
      <c r="J29" t="str">
        <f t="shared" si="0"/>
        <v>OK</v>
      </c>
    </row>
    <row r="30" spans="1:10">
      <c r="A30" t="str">
        <f>'Raw Data'!A30</f>
        <v>TXN_1114</v>
      </c>
      <c r="B30" s="1">
        <f>'Raw Data'!B30</f>
        <v>45678</v>
      </c>
      <c r="C30" t="str">
        <f>IFERROR(INDEX('Reference Table'!$C$2:$C$46,MATCH(D30,'Reference Table'!$A$2:$A$46,0)),"Unknown")</f>
        <v>Butchers</v>
      </c>
      <c r="D30" t="str">
        <f t="array" ref="D30">IF(TRIM('Raw Data'!D30)&lt;&gt;"",TRIM('Raw Data'!D30),IFERROR(INDEX('Reference Table'!$A$2:$A$46,MATCH(VALUE('Raw Data'!E30),VALUE('Reference Table'!$B$2:$B$46),0)),"Unknown"))</f>
        <v>Meat_Chicken_1kg</v>
      </c>
      <c r="E30">
        <f>IF('Raw Data'!E30&lt;&gt;"",'Raw Data'!E30,IFERROR(INDEX('Reference Table'!$B$2:$B$32,MATCH(D30,'Reference Table'!$A$2:$A$32,0)),""))</f>
        <v>220</v>
      </c>
      <c r="F30">
        <f>IF('Raw Data'!F30&lt;&gt;"",'Raw Data'!F30,IFERROR(ROUND('Raw Data'!G30/E30,0),""))</f>
        <v>5</v>
      </c>
      <c r="G30">
        <f>IF('Raw Data'!G30&lt;&gt;"",'Raw Data'!G30,IFERROR(ROUND(E30*F30,2),""))</f>
        <v>1100</v>
      </c>
      <c r="H30" t="str">
        <f>'Raw Data'!H30</f>
        <v>Credit Card</v>
      </c>
      <c r="I30" t="str">
        <f>IF('Raw Data'!D30="",IF(D30="Unknown","Could not recover","Filled from Price lookup"),IF(TRIM('Raw Data'!D30)&lt;&gt;'Raw Data'!D30,"Trimmed whitespace","OK"))</f>
        <v>OK</v>
      </c>
      <c r="J30" t="str">
        <f t="shared" si="0"/>
        <v>OK</v>
      </c>
    </row>
    <row r="31" spans="1:10">
      <c r="A31" t="str">
        <f>'Raw Data'!A31</f>
        <v>TXN_1176</v>
      </c>
      <c r="B31" s="1">
        <f>'Raw Data'!B31</f>
        <v>45673</v>
      </c>
      <c r="C31" t="str">
        <f>IFERROR(INDEX('Reference Table'!$C$2:$C$46,MATCH(D31,'Reference Table'!$A$2:$A$46,0)),"Unknown")</f>
        <v>Food</v>
      </c>
      <c r="D31" t="str">
        <f t="array" ref="D31">IF(TRIM('Raw Data'!D31)&lt;&gt;"",TRIM('Raw Data'!D31),IFERROR(INDEX('Reference Table'!$A$2:$A$46,MATCH(VALUE('Raw Data'!E31),VALUE('Reference Table'!$B$2:$B$46),0)),"Unknown"))</f>
        <v>Food_Oats_1kg</v>
      </c>
      <c r="E31">
        <f>IF('Raw Data'!E31&lt;&gt;"",'Raw Data'!E31,IFERROR(INDEX('Reference Table'!$B$2:$B$32,MATCH(D31,'Reference Table'!$A$2:$A$32,0)),""))</f>
        <v>120</v>
      </c>
      <c r="F31">
        <f>IF('Raw Data'!F31&lt;&gt;"",'Raw Data'!F31,IFERROR(ROUND('Raw Data'!G31/E31,0),""))</f>
        <v>1</v>
      </c>
      <c r="G31">
        <f>IF('Raw Data'!G31&lt;&gt;"",'Raw Data'!G31,IFERROR(ROUND(E31*F31,2),""))</f>
        <v>120</v>
      </c>
      <c r="H31" t="str">
        <f>'Raw Data'!H31</f>
        <v>Credit Card</v>
      </c>
      <c r="I31" t="str">
        <f>IF('Raw Data'!D31="",IF(D31="Unknown","Could not recover","Filled from Price lookup"),IF(TRIM('Raw Data'!D31)&lt;&gt;'Raw Data'!D31,"Trimmed whitespace","OK"))</f>
        <v>OK</v>
      </c>
      <c r="J31" t="str">
        <f t="shared" si="0"/>
        <v>OK</v>
      </c>
    </row>
    <row r="32" spans="1:10">
      <c r="A32" t="str">
        <f>'Raw Data'!A32</f>
        <v>TXN_1056</v>
      </c>
      <c r="B32" s="1">
        <f>'Raw Data'!B32</f>
        <v>45672</v>
      </c>
      <c r="C32" t="str">
        <f>IFERROR(INDEX('Reference Table'!$C$2:$C$46,MATCH(D32,'Reference Table'!$A$2:$A$46,0)),"Unknown")</f>
        <v>Patisserie</v>
      </c>
      <c r="D32" t="str">
        <f t="array" ref="D32">IF(TRIM('Raw Data'!D32)&lt;&gt;"",TRIM('Raw Data'!D32),IFERROR(INDEX('Reference Table'!$A$2:$A$46,MATCH(VALUE('Raw Data'!E32),VALUE('Reference Table'!$B$2:$B$46),0)),"Unknown"))</f>
        <v>Pat_Cake_Slice</v>
      </c>
      <c r="E32">
        <f>IF('Raw Data'!E32&lt;&gt;"",'Raw Data'!E32,IFERROR(INDEX('Reference Table'!$B$2:$B$32,MATCH(D32,'Reference Table'!$A$2:$A$32,0)),""))</f>
        <v>90</v>
      </c>
      <c r="F32">
        <f>IF('Raw Data'!F32&lt;&gt;"",'Raw Data'!F32,IFERROR(ROUND('Raw Data'!G32/E32,0),""))</f>
        <v>2</v>
      </c>
      <c r="G32">
        <f>IF('Raw Data'!G32&lt;&gt;"",'Raw Data'!G32,IFERROR(ROUND(E32*F32,2),""))</f>
        <v>180</v>
      </c>
      <c r="H32" t="str">
        <f>'Raw Data'!H32</f>
        <v>Cash</v>
      </c>
      <c r="I32" t="str">
        <f>IF('Raw Data'!D32="",IF(D32="Unknown","Could not recover","Filled from Price lookup"),IF(TRIM('Raw Data'!D32)&lt;&gt;'Raw Data'!D32,"Trimmed whitespace","OK"))</f>
        <v>OK</v>
      </c>
      <c r="J32" t="str">
        <f t="shared" si="0"/>
        <v>OK</v>
      </c>
    </row>
    <row r="33" spans="1:10">
      <c r="A33" t="str">
        <f>'Raw Data'!A33</f>
        <v>TXN_1055</v>
      </c>
      <c r="B33" s="1">
        <f>'Raw Data'!B33</f>
        <v>45766</v>
      </c>
      <c r="C33" t="str">
        <f>IFERROR(INDEX('Reference Table'!$C$2:$C$46,MATCH(D33,'Reference Table'!$A$2:$A$46,0)),"Unknown")</f>
        <v>Electric Accessories</v>
      </c>
      <c r="D33" t="str">
        <f t="array" ref="D33">IF(TRIM('Raw Data'!D33)&lt;&gt;"",TRIM('Raw Data'!D33),IFERROR(INDEX('Reference Table'!$A$2:$A$46,MATCH(VALUE('Raw Data'!E33),VALUE('Reference Table'!$B$2:$B$46),0)),"Unknown"))</f>
        <v>Elec_Powerbank</v>
      </c>
      <c r="E33" t="str">
        <f>IF('Raw Data'!E33&lt;&gt;"",'Raw Data'!E33,IFERROR(INDEX('Reference Table'!$B$2:$B$32,MATCH(D33,'Reference Table'!$A$2:$A$32,0)),""))</f>
        <v/>
      </c>
      <c r="F33">
        <f>IF('Raw Data'!F33&lt;&gt;"",'Raw Data'!F33,IFERROR(ROUND('Raw Data'!G33/E33,0),""))</f>
        <v>3</v>
      </c>
      <c r="G33">
        <f>IF('Raw Data'!G33&lt;&gt;"",'Raw Data'!G33,IFERROR(ROUND(E33*F33,2),""))</f>
        <v>2700</v>
      </c>
      <c r="H33" t="str">
        <f>'Raw Data'!H33</f>
        <v>Mobile Payment</v>
      </c>
      <c r="I33" t="str">
        <f>IF('Raw Data'!D33="",IF(D33="Unknown","Could not recover","Filled from Price lookup"),IF(TRIM('Raw Data'!D33)&lt;&gt;'Raw Data'!D33,"Trimmed whitespace","OK"))</f>
        <v>OK</v>
      </c>
      <c r="J33" t="str">
        <f t="shared" si="0"/>
        <v>Incomplete</v>
      </c>
    </row>
    <row r="34" spans="1:10">
      <c r="A34" t="str">
        <f>'Raw Data'!A34</f>
        <v>TXN_1400</v>
      </c>
      <c r="B34" s="1">
        <f>'Raw Data'!B34</f>
        <v>45824</v>
      </c>
      <c r="C34" t="str">
        <f>IFERROR(INDEX('Reference Table'!$C$2:$C$46,MATCH(D34,'Reference Table'!$A$2:$A$46,0)),"Unknown")</f>
        <v>Furniture</v>
      </c>
      <c r="D34" t="str">
        <f t="array" ref="D34">IF(TRIM('Raw Data'!D34)&lt;&gt;"",TRIM('Raw Data'!D34),IFERROR(INDEX('Reference Table'!$A$2:$A$46,MATCH(VALUE('Raw Data'!E34),VALUE('Reference Table'!$B$2:$B$46),0)),"Unknown"))</f>
        <v>Furn_Small_Table</v>
      </c>
      <c r="E34">
        <f>IF('Raw Data'!E34&lt;&gt;"",'Raw Data'!E34,IFERROR(INDEX('Reference Table'!$B$2:$B$32,MATCH(D34,'Reference Table'!$A$2:$A$32,0)),""))</f>
        <v>3200</v>
      </c>
      <c r="F34">
        <f>IF('Raw Data'!F34&lt;&gt;"",'Raw Data'!F34,IFERROR(ROUND('Raw Data'!G34/E34,0),""))</f>
        <v>3</v>
      </c>
      <c r="G34">
        <f>IF('Raw Data'!G34&lt;&gt;"",'Raw Data'!G34,IFERROR(ROUND(E34*F34,2),""))</f>
        <v>9600</v>
      </c>
      <c r="H34" t="str">
        <f>'Raw Data'!H34</f>
        <v>Credit Card</v>
      </c>
      <c r="I34" t="str">
        <f>IF('Raw Data'!D34="",IF(D34="Unknown","Could not recover","Filled from Price lookup"),IF(TRIM('Raw Data'!D34)&lt;&gt;'Raw Data'!D34,"Trimmed whitespace","OK"))</f>
        <v>OK</v>
      </c>
      <c r="J34" t="str">
        <f t="shared" si="0"/>
        <v>OK</v>
      </c>
    </row>
    <row r="35" spans="1:10">
      <c r="A35" t="str">
        <f>'Raw Data'!A35</f>
        <v>TXN_1398</v>
      </c>
      <c r="B35" s="1">
        <f>'Raw Data'!B35</f>
        <v>45888</v>
      </c>
      <c r="C35" t="str">
        <f>IFERROR(INDEX('Reference Table'!$C$2:$C$46,MATCH(D35,'Reference Table'!$A$2:$A$46,0)),"Unknown")</f>
        <v>Furniture</v>
      </c>
      <c r="D35" t="str">
        <f t="array" ref="D35">IF(TRIM('Raw Data'!D35)&lt;&gt;"",TRIM('Raw Data'!D35),IFERROR(INDEX('Reference Table'!$A$2:$A$46,MATCH(VALUE('Raw Data'!E35),VALUE('Reference Table'!$B$2:$B$46),0)),"Unknown"))</f>
        <v>Furn_Cushion</v>
      </c>
      <c r="E35">
        <f>IF('Raw Data'!E35&lt;&gt;"",'Raw Data'!E35,IFERROR(INDEX('Reference Table'!$B$2:$B$32,MATCH(D35,'Reference Table'!$A$2:$A$32,0)),""))</f>
        <v>350</v>
      </c>
      <c r="F35">
        <f>IF('Raw Data'!F35&lt;&gt;"",'Raw Data'!F35,IFERROR(ROUND('Raw Data'!G35/E35,0),""))</f>
        <v>6</v>
      </c>
      <c r="G35">
        <f>IF('Raw Data'!G35&lt;&gt;"",'Raw Data'!G35,IFERROR(ROUND(E35*F35,2),""))</f>
        <v>2100</v>
      </c>
      <c r="H35" t="str">
        <f>'Raw Data'!H35</f>
        <v>Debit Card</v>
      </c>
      <c r="I35" t="str">
        <f>IF('Raw Data'!D35="",IF(D35="Unknown","Could not recover","Filled from Price lookup"),IF(TRIM('Raw Data'!D35)&lt;&gt;'Raw Data'!D35,"Trimmed whitespace","OK"))</f>
        <v>OK</v>
      </c>
      <c r="J35" t="str">
        <f t="shared" si="0"/>
        <v>OK</v>
      </c>
    </row>
    <row r="36" spans="1:10">
      <c r="A36" t="str">
        <f>'Raw Data'!A36</f>
        <v>TXN_1323</v>
      </c>
      <c r="B36" s="1">
        <f>'Raw Data'!B36</f>
        <v>45745</v>
      </c>
      <c r="C36" t="str">
        <f>IFERROR(INDEX('Reference Table'!$C$2:$C$46,MATCH(D36,'Reference Table'!$A$2:$A$46,0)),"Unknown")</f>
        <v>Milk Products</v>
      </c>
      <c r="D36" t="str">
        <f t="array" ref="D36">IF(TRIM('Raw Data'!D36)&lt;&gt;"",TRIM('Raw Data'!D36),IFERROR(INDEX('Reference Table'!$A$2:$A$46,MATCH(VALUE('Raw Data'!E36),VALUE('Reference Table'!$B$2:$B$46),0)),"Unknown"))</f>
        <v>Milk_Butter_500g</v>
      </c>
      <c r="E36">
        <f>IF('Raw Data'!E36&lt;&gt;"",'Raw Data'!E36,IFERROR(INDEX('Reference Table'!$B$2:$B$32,MATCH(D36,'Reference Table'!$A$2:$A$32,0)),""))</f>
        <v>250</v>
      </c>
      <c r="F36">
        <f>IF('Raw Data'!F36&lt;&gt;"",'Raw Data'!F36,IFERROR(ROUND('Raw Data'!G36/E36,0),""))</f>
        <v>2</v>
      </c>
      <c r="G36">
        <f>IF('Raw Data'!G36&lt;&gt;"",'Raw Data'!G36,IFERROR(ROUND(E36*F36,2),""))</f>
        <v>500</v>
      </c>
      <c r="H36" t="str">
        <f>'Raw Data'!H36</f>
        <v>Mobile Payment</v>
      </c>
      <c r="I36" t="str">
        <f>IF('Raw Data'!D36="",IF(D36="Unknown","Could not recover","Filled from Price lookup"),IF(TRIM('Raw Data'!D36)&lt;&gt;'Raw Data'!D36,"Trimmed whitespace","OK"))</f>
        <v>OK</v>
      </c>
      <c r="J36" t="str">
        <f t="shared" si="0"/>
        <v>OK</v>
      </c>
    </row>
    <row r="37" spans="1:10">
      <c r="A37" t="str">
        <f>'Raw Data'!A37</f>
        <v>TXN_1121</v>
      </c>
      <c r="B37" s="1">
        <f>'Raw Data'!B37</f>
        <v>45782</v>
      </c>
      <c r="C37" t="str">
        <f>IFERROR(INDEX('Reference Table'!$C$2:$C$46,MATCH(D37,'Reference Table'!$A$2:$A$46,0)),"Unknown")</f>
        <v>Patisserie</v>
      </c>
      <c r="D37" t="str">
        <f t="array" ref="D37">IF(TRIM('Raw Data'!D37)&lt;&gt;"",TRIM('Raw Data'!D37),IFERROR(INDEX('Reference Table'!$A$2:$A$46,MATCH(VALUE('Raw Data'!E37),VALUE('Reference Table'!$B$2:$B$46),0)),"Unknown"))</f>
        <v>Pat_Donut</v>
      </c>
      <c r="E37">
        <f>IF('Raw Data'!E37&lt;&gt;"",'Raw Data'!E37,IFERROR(INDEX('Reference Table'!$B$2:$B$32,MATCH(D37,'Reference Table'!$A$2:$A$32,0)),""))</f>
        <v>30</v>
      </c>
      <c r="F37">
        <f>IF('Raw Data'!F37&lt;&gt;"",'Raw Data'!F37,IFERROR(ROUND('Raw Data'!G37/E37,0),""))</f>
        <v>4</v>
      </c>
      <c r="G37">
        <f>IF('Raw Data'!G37&lt;&gt;"",'Raw Data'!G37,IFERROR(ROUND(E37*F37,2),""))</f>
        <v>120</v>
      </c>
      <c r="H37" t="str">
        <f>'Raw Data'!H37</f>
        <v>Cash</v>
      </c>
      <c r="I37" t="str">
        <f>IF('Raw Data'!D37="",IF(D37="Unknown","Could not recover","Filled from Price lookup"),IF(TRIM('Raw Data'!D37)&lt;&gt;'Raw Data'!D37,"Trimmed whitespace","OK"))</f>
        <v>OK</v>
      </c>
      <c r="J37" t="str">
        <f t="shared" si="0"/>
        <v>OK</v>
      </c>
    </row>
    <row r="38" spans="1:10">
      <c r="A38" t="str">
        <f>'Raw Data'!A38</f>
        <v>TXN_1201</v>
      </c>
      <c r="B38" s="1">
        <f>'Raw Data'!B38</f>
        <v>45781</v>
      </c>
      <c r="C38" t="str">
        <f>IFERROR(INDEX('Reference Table'!$C$2:$C$46,MATCH(D38,'Reference Table'!$A$2:$A$46,0)),"Unknown")</f>
        <v>Electric Accessories</v>
      </c>
      <c r="D38" t="str">
        <f t="array" ref="D38">IF(TRIM('Raw Data'!D38)&lt;&gt;"",TRIM('Raw Data'!D38),IFERROR(INDEX('Reference Table'!$A$2:$A$46,MATCH(VALUE('Raw Data'!E38),VALUE('Reference Table'!$B$2:$B$46),0)),"Unknown"))</f>
        <v>Elec_Batteries_4pk</v>
      </c>
      <c r="E38">
        <f>IF('Raw Data'!E38&lt;&gt;"",'Raw Data'!E38,IFERROR(INDEX('Reference Table'!$B$2:$B$32,MATCH(D38,'Reference Table'!$A$2:$A$32,0)),""))</f>
        <v>90</v>
      </c>
      <c r="F38">
        <f>IF('Raw Data'!F38&lt;&gt;"",'Raw Data'!F38,IFERROR(ROUND('Raw Data'!G38/E38,0),""))</f>
        <v>5</v>
      </c>
      <c r="G38">
        <f>IF('Raw Data'!G38&lt;&gt;"",'Raw Data'!G38,IFERROR(ROUND(E38*F38,2),""))</f>
        <v>450</v>
      </c>
      <c r="H38" t="str">
        <f>'Raw Data'!H38</f>
        <v>Debit Card</v>
      </c>
      <c r="I38" t="str">
        <f>IF('Raw Data'!D38="",IF(D38="Unknown","Could not recover","Filled from Price lookup"),IF(TRIM('Raw Data'!D38)&lt;&gt;'Raw Data'!D38,"Trimmed whitespace","OK"))</f>
        <v>OK</v>
      </c>
      <c r="J38" t="str">
        <f t="shared" si="0"/>
        <v>OK</v>
      </c>
    </row>
    <row r="39" spans="1:10">
      <c r="A39" t="str">
        <f>'Raw Data'!A39</f>
        <v>TXN_1091</v>
      </c>
      <c r="B39" s="1">
        <f>'Raw Data'!B39</f>
        <v>45791</v>
      </c>
      <c r="C39" t="str">
        <f>IFERROR(INDEX('Reference Table'!$C$2:$C$46,MATCH(D39,'Reference Table'!$A$2:$A$46,0)),"Unknown")</f>
        <v>Electric Accessories</v>
      </c>
      <c r="D39" t="str">
        <f t="array" ref="D39">IF(TRIM('Raw Data'!D39)&lt;&gt;"",TRIM('Raw Data'!D39),IFERROR(INDEX('Reference Table'!$A$2:$A$46,MATCH(VALUE('Raw Data'!E39),VALUE('Reference Table'!$B$2:$B$46),0)),"Unknown"))</f>
        <v>Elec_Earphones</v>
      </c>
      <c r="E39">
        <f>IF('Raw Data'!E39&lt;&gt;"",'Raw Data'!E39,IFERROR(INDEX('Reference Table'!$B$2:$B$32,MATCH(D39,'Reference Table'!$A$2:$A$32,0)),""))</f>
        <v>350</v>
      </c>
      <c r="F39">
        <f>IF('Raw Data'!F39&lt;&gt;"",'Raw Data'!F39,IFERROR(ROUND('Raw Data'!G39/E39,0),""))</f>
        <v>1</v>
      </c>
      <c r="G39">
        <f>IF('Raw Data'!G39&lt;&gt;"",'Raw Data'!G39,IFERROR(ROUND(E39*F39,2),""))</f>
        <v>525</v>
      </c>
      <c r="H39" t="str">
        <f>'Raw Data'!H39</f>
        <v>Credit Card</v>
      </c>
      <c r="I39" t="str">
        <f>IF('Raw Data'!D39="",IF(D39="Unknown","Could not recover","Filled from Price lookup"),IF(TRIM('Raw Data'!D39)&lt;&gt;'Raw Data'!D39,"Trimmed whitespace","OK"))</f>
        <v>OK</v>
      </c>
      <c r="J39" t="str">
        <f t="shared" si="0"/>
        <v>Mismatch</v>
      </c>
    </row>
    <row r="40" spans="1:10">
      <c r="A40" t="str">
        <f>'Raw Data'!A40</f>
        <v>TXN_1364</v>
      </c>
      <c r="B40" s="1">
        <f>'Raw Data'!B40</f>
        <v>45835</v>
      </c>
      <c r="C40" t="str">
        <f>IFERROR(INDEX('Reference Table'!$C$2:$C$46,MATCH(D40,'Reference Table'!$A$2:$A$46,0)),"Unknown")</f>
        <v>Milk Products</v>
      </c>
      <c r="D40" t="str">
        <f t="array" ref="D40">IF(TRIM('Raw Data'!D40)&lt;&gt;"",TRIM('Raw Data'!D40),IFERROR(INDEX('Reference Table'!$A$2:$A$46,MATCH(VALUE('Raw Data'!E40),VALUE('Reference Table'!$B$2:$B$46),0)),"Unknown"))</f>
        <v>Milk_Butter_500g</v>
      </c>
      <c r="E40">
        <f>IF('Raw Data'!E40&lt;&gt;"",'Raw Data'!E40,IFERROR(INDEX('Reference Table'!$B$2:$B$32,MATCH(D40,'Reference Table'!$A$2:$A$32,0)),""))</f>
        <v>250</v>
      </c>
      <c r="F40">
        <f>IF('Raw Data'!F40&lt;&gt;"",'Raw Data'!F40,IFERROR(ROUND('Raw Data'!G40/E40,0),""))</f>
        <v>4</v>
      </c>
      <c r="G40">
        <f>IF('Raw Data'!G40&lt;&gt;"",'Raw Data'!G40,IFERROR(ROUND(E40*F40,2),""))</f>
        <v>1500</v>
      </c>
      <c r="H40" t="str">
        <f>'Raw Data'!H40</f>
        <v>Mobile Payment</v>
      </c>
      <c r="I40" t="str">
        <f>IF('Raw Data'!D40="",IF(D40="Unknown","Could not recover","Filled from Price lookup"),IF(TRIM('Raw Data'!D40)&lt;&gt;'Raw Data'!D40,"Trimmed whitespace","OK"))</f>
        <v>OK</v>
      </c>
      <c r="J40" t="str">
        <f t="shared" si="0"/>
        <v>Mismatch</v>
      </c>
    </row>
    <row r="41" spans="1:10">
      <c r="A41" t="str">
        <f>'Raw Data'!A41</f>
        <v>TXN_1252</v>
      </c>
      <c r="B41" s="1">
        <f>'Raw Data'!B41</f>
        <v>45856</v>
      </c>
      <c r="C41" t="str">
        <f>IFERROR(INDEX('Reference Table'!$C$2:$C$46,MATCH(D41,'Reference Table'!$A$2:$A$46,0)),"Unknown")</f>
        <v>Milk Products</v>
      </c>
      <c r="D41" t="str">
        <f t="array" ref="D41">IF(TRIM('Raw Data'!D41)&lt;&gt;"",TRIM('Raw Data'!D41),IFERROR(INDEX('Reference Table'!$A$2:$A$46,MATCH(VALUE('Raw Data'!E41),VALUE('Reference Table'!$B$2:$B$46),0)),"Unknown"))</f>
        <v>Milk_Ghee_500ml</v>
      </c>
      <c r="E41">
        <f>IF('Raw Data'!E41&lt;&gt;"",'Raw Data'!E41,IFERROR(INDEX('Reference Table'!$B$2:$B$32,MATCH(D41,'Reference Table'!$A$2:$A$32,0)),""))</f>
        <v>350</v>
      </c>
      <c r="F41">
        <f>IF('Raw Data'!F41&lt;&gt;"",'Raw Data'!F41,IFERROR(ROUND('Raw Data'!G41/E41,0),""))</f>
        <v>3</v>
      </c>
      <c r="G41">
        <f>IF('Raw Data'!G41&lt;&gt;"",'Raw Data'!G41,IFERROR(ROUND(E41*F41,2),""))</f>
        <v>1050</v>
      </c>
      <c r="H41" t="str">
        <f>'Raw Data'!H41</f>
        <v>Credit Card</v>
      </c>
      <c r="I41" t="str">
        <f>IF('Raw Data'!D41="",IF(D41="Unknown","Could not recover","Filled from Price lookup"),IF(TRIM('Raw Data'!D41)&lt;&gt;'Raw Data'!D41,"Trimmed whitespace","OK"))</f>
        <v>OK</v>
      </c>
      <c r="J41" t="str">
        <f t="shared" si="0"/>
        <v>OK</v>
      </c>
    </row>
    <row r="42" spans="1:10">
      <c r="A42" t="str">
        <f>'Raw Data'!A42</f>
        <v>TXN_1075</v>
      </c>
      <c r="B42" s="1">
        <f>'Raw Data'!B42</f>
        <v>45660</v>
      </c>
      <c r="C42" t="str">
        <f>IFERROR(INDEX('Reference Table'!$C$2:$C$46,MATCH(D42,'Reference Table'!$A$2:$A$46,0)),"Unknown")</f>
        <v>Electric Accessories</v>
      </c>
      <c r="D42" t="str">
        <f t="array" ref="D42">IF(TRIM('Raw Data'!D42)&lt;&gt;"",TRIM('Raw Data'!D42),IFERROR(INDEX('Reference Table'!$A$2:$A$46,MATCH(VALUE('Raw Data'!E42),VALUE('Reference Table'!$B$2:$B$46),0)),"Unknown"))</f>
        <v>Elec_Earphones</v>
      </c>
      <c r="E42">
        <f>IF('Raw Data'!E42&lt;&gt;"",'Raw Data'!E42,IFERROR(INDEX('Reference Table'!$B$2:$B$32,MATCH(D42,'Reference Table'!$A$2:$A$32,0)),""))</f>
        <v>350</v>
      </c>
      <c r="F42">
        <f>IF('Raw Data'!F42&lt;&gt;"",'Raw Data'!F42,IFERROR(ROUND('Raw Data'!G42/E42,0),""))</f>
        <v>5</v>
      </c>
      <c r="G42">
        <f>IF('Raw Data'!G42&lt;&gt;"",'Raw Data'!G42,IFERROR(ROUND(E42*F42,2),""))</f>
        <v>1750</v>
      </c>
      <c r="H42" t="str">
        <f>'Raw Data'!H42</f>
        <v>Cash</v>
      </c>
      <c r="I42" t="str">
        <f>IF('Raw Data'!D42="",IF(D42="Unknown","Could not recover","Filled from Price lookup"),IF(TRIM('Raw Data'!D42)&lt;&gt;'Raw Data'!D42,"Trimmed whitespace","OK"))</f>
        <v>Filled from Price lookup</v>
      </c>
      <c r="J42" t="str">
        <f t="shared" si="0"/>
        <v>OK</v>
      </c>
    </row>
    <row r="43" spans="1:10">
      <c r="A43" t="str">
        <f>'Raw Data'!A43</f>
        <v>TXN_1164</v>
      </c>
      <c r="B43" s="1">
        <f>'Raw Data'!B43</f>
        <v>45696</v>
      </c>
      <c r="C43" t="str">
        <f>IFERROR(INDEX('Reference Table'!$C$2:$C$46,MATCH(D43,'Reference Table'!$A$2:$A$46,0)),"Unknown")</f>
        <v>Beverages</v>
      </c>
      <c r="D43" t="str">
        <f t="array" ref="D43">IF(TRIM('Raw Data'!D43)&lt;&gt;"",TRIM('Raw Data'!D43),IFERROR(INDEX('Reference Table'!$A$2:$A$46,MATCH(VALUE('Raw Data'!E43),VALUE('Reference Table'!$B$2:$B$46),0)),"Unknown"))</f>
        <v>Bev_Coffee_200g</v>
      </c>
      <c r="E43">
        <f>IF('Raw Data'!E43&lt;&gt;"",'Raw Data'!E43,IFERROR(INDEX('Reference Table'!$B$2:$B$32,MATCH(D43,'Reference Table'!$A$2:$A$32,0)),""))</f>
        <v>180</v>
      </c>
      <c r="F43">
        <f>IF('Raw Data'!F43&lt;&gt;"",'Raw Data'!F43,IFERROR(ROUND('Raw Data'!G43/E43,0),""))</f>
        <v>2</v>
      </c>
      <c r="G43">
        <f>IF('Raw Data'!G43&lt;&gt;"",'Raw Data'!G43,IFERROR(ROUND(E43*F43,2),""))</f>
        <v>360</v>
      </c>
      <c r="H43" t="str">
        <f>'Raw Data'!H43</f>
        <v>Debit Card</v>
      </c>
      <c r="I43" t="str">
        <f>IF('Raw Data'!D43="",IF(D43="Unknown","Could not recover","Filled from Price lookup"),IF(TRIM('Raw Data'!D43)&lt;&gt;'Raw Data'!D43,"Trimmed whitespace","OK"))</f>
        <v>Filled from Price lookup</v>
      </c>
      <c r="J43" t="str">
        <f t="shared" si="0"/>
        <v>OK</v>
      </c>
    </row>
    <row r="44" spans="1:10">
      <c r="A44" t="str">
        <f>'Raw Data'!A44</f>
        <v>TXN_1548</v>
      </c>
      <c r="B44" s="1">
        <f>'Raw Data'!B44</f>
        <v>45862</v>
      </c>
      <c r="C44" t="str">
        <f>IFERROR(INDEX('Reference Table'!$C$2:$C$46,MATCH(D44,'Reference Table'!$A$2:$A$46,0)),"Unknown")</f>
        <v>Furniture</v>
      </c>
      <c r="D44" t="str">
        <f t="array" ref="D44">IF(TRIM('Raw Data'!D44)&lt;&gt;"",TRIM('Raw Data'!D44),IFERROR(INDEX('Reference Table'!$A$2:$A$46,MATCH(VALUE('Raw Data'!E44),VALUE('Reference Table'!$B$2:$B$46),0)),"Unknown"))</f>
        <v>Furn_Cushion</v>
      </c>
      <c r="E44">
        <f>IF('Raw Data'!E44&lt;&gt;"",'Raw Data'!E44,IFERROR(INDEX('Reference Table'!$B$2:$B$32,MATCH(D44,'Reference Table'!$A$2:$A$32,0)),""))</f>
        <v>350</v>
      </c>
      <c r="F44">
        <f>IF('Raw Data'!F44&lt;&gt;"",'Raw Data'!F44,IFERROR(ROUND('Raw Data'!G44/E44,0),""))</f>
        <v>3</v>
      </c>
      <c r="G44">
        <f>IF('Raw Data'!G44&lt;&gt;"",'Raw Data'!G44,IFERROR(ROUND(E44*F44,2),""))</f>
        <v>1050</v>
      </c>
      <c r="H44" t="str">
        <f>'Raw Data'!H44</f>
        <v>Credit Card</v>
      </c>
      <c r="I44" t="str">
        <f>IF('Raw Data'!D44="",IF(D44="Unknown","Could not recover","Filled from Price lookup"),IF(TRIM('Raw Data'!D44)&lt;&gt;'Raw Data'!D44,"Trimmed whitespace","OK"))</f>
        <v>OK</v>
      </c>
      <c r="J44" t="str">
        <f t="shared" si="0"/>
        <v>OK</v>
      </c>
    </row>
    <row r="45" spans="1:10">
      <c r="A45" t="str">
        <f>'Raw Data'!A45</f>
        <v>TXN_1181</v>
      </c>
      <c r="B45" s="1">
        <f>'Raw Data'!B45</f>
        <v>45716</v>
      </c>
      <c r="C45" t="str">
        <f>IFERROR(INDEX('Reference Table'!$C$2:$C$46,MATCH(D45,'Reference Table'!$A$2:$A$46,0)),"Unknown")</f>
        <v>Beverages</v>
      </c>
      <c r="D45" t="str">
        <f t="array" ref="D45">IF(TRIM('Raw Data'!D45)&lt;&gt;"",TRIM('Raw Data'!D45),IFERROR(INDEX('Reference Table'!$A$2:$A$46,MATCH(VALUE('Raw Data'!E45),VALUE('Reference Table'!$B$2:$B$46),0)),"Unknown"))</f>
        <v>Bev_Juice_500ml</v>
      </c>
      <c r="E45">
        <f>IF('Raw Data'!E45&lt;&gt;"",'Raw Data'!E45,IFERROR(INDEX('Reference Table'!$B$2:$B$32,MATCH(D45,'Reference Table'!$A$2:$A$32,0)),""))</f>
        <v>45</v>
      </c>
      <c r="F45">
        <f>IF('Raw Data'!F45&lt;&gt;"",'Raw Data'!F45,IFERROR(ROUND('Raw Data'!G45/E45,0),""))</f>
        <v>1</v>
      </c>
      <c r="G45">
        <f>IF('Raw Data'!G45&lt;&gt;"",'Raw Data'!G45,IFERROR(ROUND(E45*F45,2),""))</f>
        <v>45</v>
      </c>
      <c r="H45" t="str">
        <f>'Raw Data'!H45</f>
        <v>Cash</v>
      </c>
      <c r="I45" t="str">
        <f>IF('Raw Data'!D45="",IF(D45="Unknown","Could not recover","Filled from Price lookup"),IF(TRIM('Raw Data'!D45)&lt;&gt;'Raw Data'!D45,"Trimmed whitespace","OK"))</f>
        <v>OK</v>
      </c>
      <c r="J45" t="str">
        <f t="shared" si="0"/>
        <v>OK</v>
      </c>
    </row>
    <row r="46" spans="1:10">
      <c r="A46" t="str">
        <f>'Raw Data'!A46</f>
        <v>TXN_1155</v>
      </c>
      <c r="B46" s="1">
        <f>'Raw Data'!B46</f>
        <v>45705</v>
      </c>
      <c r="C46" t="str">
        <f>IFERROR(INDEX('Reference Table'!$C$2:$C$46,MATCH(D46,'Reference Table'!$A$2:$A$46,0)),"Unknown")</f>
        <v>Computers</v>
      </c>
      <c r="D46" t="str">
        <f t="array" ref="D46">IF(TRIM('Raw Data'!D46)&lt;&gt;"",TRIM('Raw Data'!D46),IFERROR(INDEX('Reference Table'!$A$2:$A$46,MATCH(VALUE('Raw Data'!E46),VALUE('Reference Table'!$B$2:$B$46),0)),"Unknown"))</f>
        <v>Comp_Webcam</v>
      </c>
      <c r="E46">
        <f>IF('Raw Data'!E46&lt;&gt;"",'Raw Data'!E46,IFERROR(INDEX('Reference Table'!$B$2:$B$32,MATCH(D46,'Reference Table'!$A$2:$A$32,0)),""))</f>
        <v>1200</v>
      </c>
      <c r="F46">
        <f>IF('Raw Data'!F46&lt;&gt;"",'Raw Data'!F46,IFERROR(ROUND('Raw Data'!G46/E46,0),""))</f>
        <v>6</v>
      </c>
      <c r="G46">
        <f>IF('Raw Data'!G46&lt;&gt;"",'Raw Data'!G46,IFERROR(ROUND(E46*F46,2),""))</f>
        <v>7200</v>
      </c>
      <c r="H46" t="str">
        <f>'Raw Data'!H46</f>
        <v>Credit Card</v>
      </c>
      <c r="I46" t="str">
        <f>IF('Raw Data'!D46="",IF(D46="Unknown","Could not recover","Filled from Price lookup"),IF(TRIM('Raw Data'!D46)&lt;&gt;'Raw Data'!D46,"Trimmed whitespace","OK"))</f>
        <v>OK</v>
      </c>
      <c r="J46" t="str">
        <f t="shared" si="0"/>
        <v>OK</v>
      </c>
    </row>
    <row r="47" spans="1:10">
      <c r="A47" t="str">
        <f>'Raw Data'!A47</f>
        <v>TXN_1268</v>
      </c>
      <c r="B47" s="1">
        <f>'Raw Data'!B47</f>
        <v>45744</v>
      </c>
      <c r="C47" t="str">
        <f>IFERROR(INDEX('Reference Table'!$C$2:$C$46,MATCH(D47,'Reference Table'!$A$2:$A$46,0)),"Unknown")</f>
        <v>Milk Products</v>
      </c>
      <c r="D47" t="str">
        <f t="array" ref="D47">IF(TRIM('Raw Data'!D47)&lt;&gt;"",TRIM('Raw Data'!D47),IFERROR(INDEX('Reference Table'!$A$2:$A$46,MATCH(VALUE('Raw Data'!E47),VALUE('Reference Table'!$B$2:$B$46),0)),"Unknown"))</f>
        <v>Milk_Ghee_500ml</v>
      </c>
      <c r="E47">
        <f>IF('Raw Data'!E47&lt;&gt;"",'Raw Data'!E47,IFERROR(INDEX('Reference Table'!$B$2:$B$32,MATCH(D47,'Reference Table'!$A$2:$A$32,0)),""))</f>
        <v>350</v>
      </c>
      <c r="F47">
        <f>IF('Raw Data'!F47&lt;&gt;"",'Raw Data'!F47,IFERROR(ROUND('Raw Data'!G47/E47,0),""))</f>
        <v>4</v>
      </c>
      <c r="G47">
        <f>IF('Raw Data'!G47&lt;&gt;"",'Raw Data'!G47,IFERROR(ROUND(E47*F47,2),""))</f>
        <v>1400</v>
      </c>
      <c r="H47" t="str">
        <f>'Raw Data'!H47</f>
        <v>Mobile Payment</v>
      </c>
      <c r="I47" t="str">
        <f>IF('Raw Data'!D47="",IF(D47="Unknown","Could not recover","Filled from Price lookup"),IF(TRIM('Raw Data'!D47)&lt;&gt;'Raw Data'!D47,"Trimmed whitespace","OK"))</f>
        <v>OK</v>
      </c>
      <c r="J47" t="str">
        <f t="shared" si="0"/>
        <v>OK</v>
      </c>
    </row>
    <row r="48" spans="1:10">
      <c r="A48" t="str">
        <f>'Raw Data'!A48</f>
        <v>TXN_1309</v>
      </c>
      <c r="B48" s="1">
        <f>'Raw Data'!B48</f>
        <v>45677</v>
      </c>
      <c r="C48" t="str">
        <f>IFERROR(INDEX('Reference Table'!$C$2:$C$46,MATCH(D48,'Reference Table'!$A$2:$A$46,0)),"Unknown")</f>
        <v>Butchers</v>
      </c>
      <c r="D48" t="str">
        <f t="array" ref="D48">IF(TRIM('Raw Data'!D48)&lt;&gt;"",TRIM('Raw Data'!D48),IFERROR(INDEX('Reference Table'!$A$2:$A$46,MATCH(VALUE('Raw Data'!E48),VALUE('Reference Table'!$B$2:$B$46),0)),"Unknown"))</f>
        <v>Meat_Eggs_Dozen</v>
      </c>
      <c r="E48">
        <f>IF('Raw Data'!E48&lt;&gt;"",'Raw Data'!E48,IFERROR(INDEX('Reference Table'!$B$2:$B$32,MATCH(D48,'Reference Table'!$A$2:$A$32,0)),""))</f>
        <v>75</v>
      </c>
      <c r="F48">
        <f>IF('Raw Data'!F48&lt;&gt;"",'Raw Data'!F48,IFERROR(ROUND('Raw Data'!G48/E48,0),""))</f>
        <v>3</v>
      </c>
      <c r="G48">
        <f>IF('Raw Data'!G48&lt;&gt;"",'Raw Data'!G48,IFERROR(ROUND(E48*F48,2),""))</f>
        <v>225</v>
      </c>
      <c r="H48" t="str">
        <f>'Raw Data'!H48</f>
        <v>Cash</v>
      </c>
      <c r="I48" t="str">
        <f>IF('Raw Data'!D48="",IF(D48="Unknown","Could not recover","Filled from Price lookup"),IF(TRIM('Raw Data'!D48)&lt;&gt;'Raw Data'!D48,"Trimmed whitespace","OK"))</f>
        <v>OK</v>
      </c>
      <c r="J48" t="str">
        <f t="shared" si="0"/>
        <v>OK</v>
      </c>
    </row>
    <row r="49" spans="1:10">
      <c r="A49" t="str">
        <f>'Raw Data'!A49</f>
        <v>TXN_1324</v>
      </c>
      <c r="B49" s="1">
        <f>'Raw Data'!B49</f>
        <v>45677</v>
      </c>
      <c r="C49" t="str">
        <f>IFERROR(INDEX('Reference Table'!$C$2:$C$46,MATCH(D49,'Reference Table'!$A$2:$A$46,0)),"Unknown")</f>
        <v>Food</v>
      </c>
      <c r="D49" t="str">
        <f t="array" ref="D49">IF(TRIM('Raw Data'!D49)&lt;&gt;"",TRIM('Raw Data'!D49),IFERROR(INDEX('Reference Table'!$A$2:$A$46,MATCH(VALUE('Raw Data'!E49),VALUE('Reference Table'!$B$2:$B$46),0)),"Unknown"))</f>
        <v>Food_Cereal_500g</v>
      </c>
      <c r="E49">
        <f>IF('Raw Data'!E49&lt;&gt;"",'Raw Data'!E49,IFERROR(INDEX('Reference Table'!$B$2:$B$32,MATCH(D49,'Reference Table'!$A$2:$A$32,0)),""))</f>
        <v>150</v>
      </c>
      <c r="F49">
        <f>IF('Raw Data'!F49&lt;&gt;"",'Raw Data'!F49,IFERROR(ROUND('Raw Data'!G49/E49,0),""))</f>
        <v>2</v>
      </c>
      <c r="G49">
        <f>IF('Raw Data'!G49&lt;&gt;"",'Raw Data'!G49,IFERROR(ROUND(E49*F49,2),""))</f>
        <v>300</v>
      </c>
      <c r="H49" t="str">
        <f>'Raw Data'!H49</f>
        <v>Debit Card</v>
      </c>
      <c r="I49" t="str">
        <f>IF('Raw Data'!D49="",IF(D49="Unknown","Could not recover","Filled from Price lookup"),IF(TRIM('Raw Data'!D49)&lt;&gt;'Raw Data'!D49,"Trimmed whitespace","OK"))</f>
        <v>OK</v>
      </c>
      <c r="J49" t="str">
        <f t="shared" si="0"/>
        <v>OK</v>
      </c>
    </row>
    <row r="50" spans="1:10">
      <c r="A50" t="str">
        <f>'Raw Data'!A50</f>
        <v>TXN_1484</v>
      </c>
      <c r="B50" s="1">
        <f>'Raw Data'!B50</f>
        <v>45825</v>
      </c>
      <c r="C50" t="str">
        <f>IFERROR(INDEX('Reference Table'!$C$2:$C$46,MATCH(D50,'Reference Table'!$A$2:$A$46,0)),"Unknown")</f>
        <v>Computers</v>
      </c>
      <c r="D50" t="str">
        <f t="array" ref="D50">IF(TRIM('Raw Data'!D50)&lt;&gt;"",TRIM('Raw Data'!D50),IFERROR(INDEX('Reference Table'!$A$2:$A$46,MATCH(VALUE('Raw Data'!E50),VALUE('Reference Table'!$B$2:$B$46),0)),"Unknown"))</f>
        <v>Comp_Webcam</v>
      </c>
      <c r="E50">
        <f>IF('Raw Data'!E50&lt;&gt;"",'Raw Data'!E50,IFERROR(INDEX('Reference Table'!$B$2:$B$32,MATCH(D50,'Reference Table'!$A$2:$A$32,0)),""))</f>
        <v>1200</v>
      </c>
      <c r="F50">
        <f>IF('Raw Data'!F50&lt;&gt;"",'Raw Data'!F50,IFERROR(ROUND('Raw Data'!G50/E50,0),""))</f>
        <v>2</v>
      </c>
      <c r="G50">
        <f>IF('Raw Data'!G50&lt;&gt;"",'Raw Data'!G50,IFERROR(ROUND(E50*F50,2),""))</f>
        <v>2400</v>
      </c>
      <c r="H50" t="str">
        <f>'Raw Data'!H50</f>
        <v>Debit Card</v>
      </c>
      <c r="I50" t="str">
        <f>IF('Raw Data'!D50="",IF(D50="Unknown","Could not recover","Filled from Price lookup"),IF(TRIM('Raw Data'!D50)&lt;&gt;'Raw Data'!D50,"Trimmed whitespace","OK"))</f>
        <v>Filled from Price lookup</v>
      </c>
      <c r="J50" t="str">
        <f t="shared" si="0"/>
        <v>OK</v>
      </c>
    </row>
    <row r="51" spans="1:10">
      <c r="A51" t="str">
        <f>'Raw Data'!A51</f>
        <v>TXN_1163</v>
      </c>
      <c r="B51" s="1">
        <f>'Raw Data'!B51</f>
        <v>45783</v>
      </c>
      <c r="C51" t="str">
        <f>IFERROR(INDEX('Reference Table'!$C$2:$C$46,MATCH(D51,'Reference Table'!$A$2:$A$46,0)),"Unknown")</f>
        <v>Beverages</v>
      </c>
      <c r="D51" t="str">
        <f t="array" ref="D51">IF(TRIM('Raw Data'!D51)&lt;&gt;"",TRIM('Raw Data'!D51),IFERROR(INDEX('Reference Table'!$A$2:$A$46,MATCH(VALUE('Raw Data'!E51),VALUE('Reference Table'!$B$2:$B$46),0)),"Unknown"))</f>
        <v>Bev_Tea_100g</v>
      </c>
      <c r="E51">
        <f>IF('Raw Data'!E51&lt;&gt;"",'Raw Data'!E51,IFERROR(INDEX('Reference Table'!$B$2:$B$32,MATCH(D51,'Reference Table'!$A$2:$A$32,0)),""))</f>
        <v>90</v>
      </c>
      <c r="F51">
        <f>IF('Raw Data'!F51&lt;&gt;"",'Raw Data'!F51,IFERROR(ROUND('Raw Data'!G51/E51,0),""))</f>
        <v>4</v>
      </c>
      <c r="G51">
        <f>IF('Raw Data'!G51&lt;&gt;"",'Raw Data'!G51,IFERROR(ROUND(E51*F51,2),""))</f>
        <v>360</v>
      </c>
      <c r="H51" t="str">
        <f>'Raw Data'!H51</f>
        <v>Cash</v>
      </c>
      <c r="I51" t="str">
        <f>IF('Raw Data'!D51="",IF(D51="Unknown","Could not recover","Filled from Price lookup"),IF(TRIM('Raw Data'!D51)&lt;&gt;'Raw Data'!D51,"Trimmed whitespace","OK"))</f>
        <v>OK</v>
      </c>
      <c r="J51" t="str">
        <f t="shared" si="0"/>
        <v>OK</v>
      </c>
    </row>
    <row r="52" spans="1:10">
      <c r="A52" t="str">
        <f>'Raw Data'!A52</f>
        <v>TXN_1147</v>
      </c>
      <c r="B52" s="1">
        <f>'Raw Data'!B52</f>
        <v>45729</v>
      </c>
      <c r="C52" t="str">
        <f>IFERROR(INDEX('Reference Table'!$C$2:$C$46,MATCH(D52,'Reference Table'!$A$2:$A$46,0)),"Unknown")</f>
        <v>Patisserie</v>
      </c>
      <c r="D52" t="str">
        <f t="array" ref="D52">IF(TRIM('Raw Data'!D52)&lt;&gt;"",TRIM('Raw Data'!D52),IFERROR(INDEX('Reference Table'!$A$2:$A$46,MATCH(VALUE('Raw Data'!E52),VALUE('Reference Table'!$B$2:$B$46),0)),"Unknown"))</f>
        <v>Pat_Muffin</v>
      </c>
      <c r="E52">
        <f>IF('Raw Data'!E52&lt;&gt;"",'Raw Data'!E52,IFERROR(INDEX('Reference Table'!$B$2:$B$32,MATCH(D52,'Reference Table'!$A$2:$A$32,0)),""))</f>
        <v>35</v>
      </c>
      <c r="F52">
        <f>IF('Raw Data'!F52&lt;&gt;"",'Raw Data'!F52,IFERROR(ROUND('Raw Data'!G52/E52,0),""))</f>
        <v>3</v>
      </c>
      <c r="G52">
        <f>IF('Raw Data'!G52&lt;&gt;"",'Raw Data'!G52,IFERROR(ROUND(E52*F52,2),""))</f>
        <v>105</v>
      </c>
      <c r="H52" t="str">
        <f>'Raw Data'!H52</f>
        <v>Debit Card</v>
      </c>
      <c r="I52" t="str">
        <f>IF('Raw Data'!D52="",IF(D52="Unknown","Could not recover","Filled from Price lookup"),IF(TRIM('Raw Data'!D52)&lt;&gt;'Raw Data'!D52,"Trimmed whitespace","OK"))</f>
        <v>OK</v>
      </c>
      <c r="J52" t="str">
        <f t="shared" si="0"/>
        <v>OK</v>
      </c>
    </row>
    <row r="53" spans="1:10">
      <c r="A53" t="str">
        <f>'Raw Data'!A53</f>
        <v>TXN_1042</v>
      </c>
      <c r="B53" s="1">
        <f>'Raw Data'!B53</f>
        <v>45839</v>
      </c>
      <c r="C53" t="str">
        <f>IFERROR(INDEX('Reference Table'!$C$2:$C$46,MATCH(D53,'Reference Table'!$A$2:$A$46,0)),"Unknown")</f>
        <v>Beverages</v>
      </c>
      <c r="D53" t="str">
        <f t="array" ref="D53">IF(TRIM('Raw Data'!D53)&lt;&gt;"",TRIM('Raw Data'!D53),IFERROR(INDEX('Reference Table'!$A$2:$A$46,MATCH(VALUE('Raw Data'!E53),VALUE('Reference Table'!$B$2:$B$46),0)),"Unknown"))</f>
        <v>Bev_Cola_1L</v>
      </c>
      <c r="E53">
        <f>IF('Raw Data'!E53&lt;&gt;"",'Raw Data'!E53,IFERROR(INDEX('Reference Table'!$B$2:$B$32,MATCH(D53,'Reference Table'!$A$2:$A$32,0)),""))</f>
        <v>60</v>
      </c>
      <c r="F53">
        <f>IF('Raw Data'!F53&lt;&gt;"",'Raw Data'!F53,IFERROR(ROUND('Raw Data'!G53/E53,0),""))</f>
        <v>1</v>
      </c>
      <c r="G53">
        <f>IF('Raw Data'!G53&lt;&gt;"",'Raw Data'!G53,IFERROR(ROUND(E53*F53,2),""))</f>
        <v>60</v>
      </c>
      <c r="H53" t="str">
        <f>'Raw Data'!H53</f>
        <v>Cash</v>
      </c>
      <c r="I53" t="str">
        <f>IF('Raw Data'!D53="",IF(D53="Unknown","Could not recover","Filled from Price lookup"),IF(TRIM('Raw Data'!D53)&lt;&gt;'Raw Data'!D53,"Trimmed whitespace","OK"))</f>
        <v>OK</v>
      </c>
      <c r="J53" t="str">
        <f t="shared" si="0"/>
        <v>OK</v>
      </c>
    </row>
    <row r="54" spans="1:10">
      <c r="A54" t="str">
        <f>'Raw Data'!A54</f>
        <v>TXN_1148</v>
      </c>
      <c r="B54" s="1">
        <f>'Raw Data'!B54</f>
        <v>45679</v>
      </c>
      <c r="C54" t="str">
        <f>IFERROR(INDEX('Reference Table'!$C$2:$C$46,MATCH(D54,'Reference Table'!$A$2:$A$46,0)),"Unknown")</f>
        <v>Computers</v>
      </c>
      <c r="D54" t="str">
        <f t="array" ref="D54">IF(TRIM('Raw Data'!D54)&lt;&gt;"",TRIM('Raw Data'!D54),IFERROR(INDEX('Reference Table'!$A$2:$A$46,MATCH(VALUE('Raw Data'!E54),VALUE('Reference Table'!$B$2:$B$46),0)),"Unknown"))</f>
        <v>Comp_HDMI_Cable</v>
      </c>
      <c r="E54">
        <f>IF('Raw Data'!E54&lt;&gt;"",'Raw Data'!E54,IFERROR(INDEX('Reference Table'!$B$2:$B$32,MATCH(D54,'Reference Table'!$A$2:$A$32,0)),""))</f>
        <v>300</v>
      </c>
      <c r="F54">
        <f>IF('Raw Data'!F54&lt;&gt;"",'Raw Data'!F54,IFERROR(ROUND('Raw Data'!G54/E54,0),""))</f>
        <v>2</v>
      </c>
      <c r="G54">
        <f>IF('Raw Data'!G54&lt;&gt;"",'Raw Data'!G54,IFERROR(ROUND(E54*F54,2),""))</f>
        <v>600</v>
      </c>
      <c r="H54" t="str">
        <f>'Raw Data'!H54</f>
        <v>Credit Card</v>
      </c>
      <c r="I54" t="str">
        <f>IF('Raw Data'!D54="",IF(D54="Unknown","Could not recover","Filled from Price lookup"),IF(TRIM('Raw Data'!D54)&lt;&gt;'Raw Data'!D54,"Trimmed whitespace","OK"))</f>
        <v>OK</v>
      </c>
      <c r="J54" t="str">
        <f t="shared" si="0"/>
        <v>OK</v>
      </c>
    </row>
    <row r="55" spans="1:10">
      <c r="A55" t="str">
        <f>'Raw Data'!A55</f>
        <v>TXN_1073</v>
      </c>
      <c r="B55" s="1">
        <f>'Raw Data'!B55</f>
        <v>45743</v>
      </c>
      <c r="C55" t="str">
        <f>IFERROR(INDEX('Reference Table'!$C$2:$C$46,MATCH(D55,'Reference Table'!$A$2:$A$46,0)),"Unknown")</f>
        <v>Beverages</v>
      </c>
      <c r="D55" t="str">
        <f t="array" ref="D55">IF(TRIM('Raw Data'!D55)&lt;&gt;"",TRIM('Raw Data'!D55),IFERROR(INDEX('Reference Table'!$A$2:$A$46,MATCH(VALUE('Raw Data'!E55),VALUE('Reference Table'!$B$2:$B$46),0)),"Unknown"))</f>
        <v>Bev_Water_1L</v>
      </c>
      <c r="E55">
        <f>IF('Raw Data'!E55&lt;&gt;"",'Raw Data'!E55,IFERROR(INDEX('Reference Table'!$B$2:$B$32,MATCH(D55,'Reference Table'!$A$2:$A$32,0)),""))</f>
        <v>20</v>
      </c>
      <c r="F55">
        <f>IF('Raw Data'!F55&lt;&gt;"",'Raw Data'!F55,IFERROR(ROUND('Raw Data'!G55/E55,0),""))</f>
        <v>1</v>
      </c>
      <c r="G55">
        <f>IF('Raw Data'!G55&lt;&gt;"",'Raw Data'!G55,IFERROR(ROUND(E55*F55,2),""))</f>
        <v>20</v>
      </c>
      <c r="H55" t="str">
        <f>'Raw Data'!H55</f>
        <v>Credit Card</v>
      </c>
      <c r="I55" t="str">
        <f>IF('Raw Data'!D55="",IF(D55="Unknown","Could not recover","Filled from Price lookup"),IF(TRIM('Raw Data'!D55)&lt;&gt;'Raw Data'!D55,"Trimmed whitespace","OK"))</f>
        <v>OK</v>
      </c>
      <c r="J55" t="str">
        <f t="shared" si="0"/>
        <v>OK</v>
      </c>
    </row>
    <row r="56" spans="1:10">
      <c r="A56" t="str">
        <f>'Raw Data'!A56</f>
        <v>TXN_1408</v>
      </c>
      <c r="B56" s="1">
        <f>'Raw Data'!B56</f>
        <v>45726</v>
      </c>
      <c r="C56" t="str">
        <f>IFERROR(INDEX('Reference Table'!$C$2:$C$46,MATCH(D56,'Reference Table'!$A$2:$A$46,0)),"Unknown")</f>
        <v>Electric Accessories</v>
      </c>
      <c r="D56" t="str">
        <f t="array" ref="D56">IF(TRIM('Raw Data'!D56)&lt;&gt;"",TRIM('Raw Data'!D56),IFERROR(INDEX('Reference Table'!$A$2:$A$46,MATCH(VALUE('Raw Data'!E56),VALUE('Reference Table'!$B$2:$B$46),0)),"Unknown"))</f>
        <v>Elec_Powerbank</v>
      </c>
      <c r="E56">
        <f>IF('Raw Data'!E56&lt;&gt;"",'Raw Data'!E56,IFERROR(INDEX('Reference Table'!$B$2:$B$32,MATCH(D56,'Reference Table'!$A$2:$A$32,0)),""))</f>
        <v>900</v>
      </c>
      <c r="F56">
        <f>IF('Raw Data'!F56&lt;&gt;"",'Raw Data'!F56,IFERROR(ROUND('Raw Data'!G56/E56,0),""))</f>
        <v>1</v>
      </c>
      <c r="G56">
        <f>IF('Raw Data'!G56&lt;&gt;"",'Raw Data'!G56,IFERROR(ROUND(E56*F56,2),""))</f>
        <v>900</v>
      </c>
      <c r="H56" t="str">
        <f>'Raw Data'!H56</f>
        <v>Mobile Payment</v>
      </c>
      <c r="I56" t="str">
        <f>IF('Raw Data'!D56="",IF(D56="Unknown","Could not recover","Filled from Price lookup"),IF(TRIM('Raw Data'!D56)&lt;&gt;'Raw Data'!D56,"Trimmed whitespace","OK"))</f>
        <v>OK</v>
      </c>
      <c r="J56" t="str">
        <f t="shared" si="0"/>
        <v>OK</v>
      </c>
    </row>
    <row r="57" spans="1:10">
      <c r="A57" t="str">
        <f>'Raw Data'!A57</f>
        <v>TXN_1186</v>
      </c>
      <c r="B57" s="1">
        <f>'Raw Data'!B57</f>
        <v>45827</v>
      </c>
      <c r="C57" t="str">
        <f>IFERROR(INDEX('Reference Table'!$C$2:$C$46,MATCH(D57,'Reference Table'!$A$2:$A$46,0)),"Unknown")</f>
        <v>Computers</v>
      </c>
      <c r="D57" t="str">
        <f t="array" ref="D57">IF(TRIM('Raw Data'!D57)&lt;&gt;"",TRIM('Raw Data'!D57),IFERROR(INDEX('Reference Table'!$A$2:$A$46,MATCH(VALUE('Raw Data'!E57),VALUE('Reference Table'!$B$2:$B$46),0)),"Unknown"))</f>
        <v>Comp_Keyboard</v>
      </c>
      <c r="E57">
        <f>IF('Raw Data'!E57&lt;&gt;"",'Raw Data'!E57,IFERROR(INDEX('Reference Table'!$B$2:$B$32,MATCH(D57,'Reference Table'!$A$2:$A$32,0)),""))</f>
        <v>800</v>
      </c>
      <c r="F57">
        <f>IF('Raw Data'!F57&lt;&gt;"",'Raw Data'!F57,IFERROR(ROUND('Raw Data'!G57/E57,0),""))</f>
        <v>3</v>
      </c>
      <c r="G57">
        <f>IF('Raw Data'!G57&lt;&gt;"",'Raw Data'!G57,IFERROR(ROUND(E57*F57,2),""))</f>
        <v>2400</v>
      </c>
      <c r="H57" t="str">
        <f>'Raw Data'!H57</f>
        <v>Mobile Payment</v>
      </c>
      <c r="I57" t="str">
        <f>IF('Raw Data'!D57="",IF(D57="Unknown","Could not recover","Filled from Price lookup"),IF(TRIM('Raw Data'!D57)&lt;&gt;'Raw Data'!D57,"Trimmed whitespace","OK"))</f>
        <v>OK</v>
      </c>
      <c r="J57" t="str">
        <f t="shared" si="0"/>
        <v>OK</v>
      </c>
    </row>
    <row r="58" spans="1:10">
      <c r="A58" t="str">
        <f>'Raw Data'!A58</f>
        <v>TXN_1229</v>
      </c>
      <c r="B58" s="1">
        <f>'Raw Data'!B58</f>
        <v>45806</v>
      </c>
      <c r="C58" t="str">
        <f>IFERROR(INDEX('Reference Table'!$C$2:$C$46,MATCH(D58,'Reference Table'!$A$2:$A$46,0)),"Unknown")</f>
        <v>Electric Accessories</v>
      </c>
      <c r="D58" t="str">
        <f t="array" ref="D58">IF(TRIM('Raw Data'!D58)&lt;&gt;"",TRIM('Raw Data'!D58),IFERROR(INDEX('Reference Table'!$A$2:$A$46,MATCH(VALUE('Raw Data'!E58),VALUE('Reference Table'!$B$2:$B$46),0)),"Unknown"))</f>
        <v>Elec_Batteries_4pk</v>
      </c>
      <c r="E58">
        <f>IF('Raw Data'!E58&lt;&gt;"",'Raw Data'!E58,IFERROR(INDEX('Reference Table'!$B$2:$B$32,MATCH(D58,'Reference Table'!$A$2:$A$32,0)),""))</f>
        <v>90</v>
      </c>
      <c r="F58">
        <f>IF('Raw Data'!F58&lt;&gt;"",'Raw Data'!F58,IFERROR(ROUND('Raw Data'!G58/E58,0),""))</f>
        <v>1</v>
      </c>
      <c r="G58">
        <f>IF('Raw Data'!G58&lt;&gt;"",'Raw Data'!G58,IFERROR(ROUND(E58*F58,2),""))</f>
        <v>90</v>
      </c>
      <c r="H58" t="str">
        <f>'Raw Data'!H58</f>
        <v>Debit Card</v>
      </c>
      <c r="I58" t="str">
        <f>IF('Raw Data'!D58="",IF(D58="Unknown","Could not recover","Filled from Price lookup"),IF(TRIM('Raw Data'!D58)&lt;&gt;'Raw Data'!D58,"Trimmed whitespace","OK"))</f>
        <v>OK</v>
      </c>
      <c r="J58" t="str">
        <f t="shared" si="0"/>
        <v>OK</v>
      </c>
    </row>
    <row r="59" spans="1:10">
      <c r="A59" t="str">
        <f>'Raw Data'!A59</f>
        <v>TXN_1076</v>
      </c>
      <c r="B59" s="1">
        <f>'Raw Data'!B59</f>
        <v>45667</v>
      </c>
      <c r="C59" t="str">
        <f>IFERROR(INDEX('Reference Table'!$C$2:$C$46,MATCH(D59,'Reference Table'!$A$2:$A$46,0)),"Unknown")</f>
        <v>Food</v>
      </c>
      <c r="D59" t="str">
        <f t="array" ref="D59">IF(TRIM('Raw Data'!D59)&lt;&gt;"",TRIM('Raw Data'!D59),IFERROR(INDEX('Reference Table'!$A$2:$A$46,MATCH(VALUE('Raw Data'!E59),VALUE('Reference Table'!$B$2:$B$46),0)),"Unknown"))</f>
        <v>Food_Oats_1kg</v>
      </c>
      <c r="E59">
        <f>IF('Raw Data'!E59&lt;&gt;"",'Raw Data'!E59,IFERROR(INDEX('Reference Table'!$B$2:$B$32,MATCH(D59,'Reference Table'!$A$2:$A$32,0)),""))</f>
        <v>120</v>
      </c>
      <c r="F59">
        <f>IF('Raw Data'!F59&lt;&gt;"",'Raw Data'!F59,IFERROR(ROUND('Raw Data'!G59/E59,0),""))</f>
        <v>5</v>
      </c>
      <c r="G59">
        <f>IF('Raw Data'!G59&lt;&gt;"",'Raw Data'!G59,IFERROR(ROUND(E59*F59,2),""))</f>
        <v>600</v>
      </c>
      <c r="H59" t="str">
        <f>'Raw Data'!H59</f>
        <v>Debit Card</v>
      </c>
      <c r="I59" t="str">
        <f>IF('Raw Data'!D59="",IF(D59="Unknown","Could not recover","Filled from Price lookup"),IF(TRIM('Raw Data'!D59)&lt;&gt;'Raw Data'!D59,"Trimmed whitespace","OK"))</f>
        <v>OK</v>
      </c>
      <c r="J59" t="str">
        <f t="shared" si="0"/>
        <v>OK</v>
      </c>
    </row>
    <row r="60" spans="1:10">
      <c r="A60" t="str">
        <f>'Raw Data'!A60</f>
        <v>TXN_1582</v>
      </c>
      <c r="B60" s="1">
        <f>'Raw Data'!B60</f>
        <v>45870</v>
      </c>
      <c r="C60" t="str">
        <f>IFERROR(INDEX('Reference Table'!$C$2:$C$46,MATCH(D60,'Reference Table'!$A$2:$A$46,0)),"Unknown")</f>
        <v>Food</v>
      </c>
      <c r="D60" t="str">
        <f t="array" ref="D60">IF(TRIM('Raw Data'!D60)&lt;&gt;"",TRIM('Raw Data'!D60),IFERROR(INDEX('Reference Table'!$A$2:$A$46,MATCH(VALUE('Raw Data'!E60),VALUE('Reference Table'!$B$2:$B$46),0)),"Unknown"))</f>
        <v>Food_Rice_1kg</v>
      </c>
      <c r="E60">
        <f>IF('Raw Data'!E60&lt;&gt;"",'Raw Data'!E60,IFERROR(INDEX('Reference Table'!$B$2:$B$32,MATCH(D60,'Reference Table'!$A$2:$A$32,0)),""))</f>
        <v>70</v>
      </c>
      <c r="F60">
        <f>IF('Raw Data'!F60&lt;&gt;"",'Raw Data'!F60,IFERROR(ROUND('Raw Data'!G60/E60,0),""))</f>
        <v>1</v>
      </c>
      <c r="G60">
        <f>IF('Raw Data'!G60&lt;&gt;"",'Raw Data'!G60,IFERROR(ROUND(E60*F60,2),""))</f>
        <v>105</v>
      </c>
      <c r="H60" t="str">
        <f>'Raw Data'!H60</f>
        <v>Credit Card</v>
      </c>
      <c r="I60" t="str">
        <f>IF('Raw Data'!D60="",IF(D60="Unknown","Could not recover","Filled from Price lookup"),IF(TRIM('Raw Data'!D60)&lt;&gt;'Raw Data'!D60,"Trimmed whitespace","OK"))</f>
        <v>OK</v>
      </c>
      <c r="J60" t="str">
        <f t="shared" si="0"/>
        <v>Mismatch</v>
      </c>
    </row>
    <row r="61" spans="1:10">
      <c r="A61" t="str">
        <f>'Raw Data'!A61</f>
        <v>TXN_1404</v>
      </c>
      <c r="B61" s="1">
        <f>'Raw Data'!B61</f>
        <v>45764</v>
      </c>
      <c r="C61" t="str">
        <f>IFERROR(INDEX('Reference Table'!$C$2:$C$46,MATCH(D61,'Reference Table'!$A$2:$A$46,0)),"Unknown")</f>
        <v>Milk Products</v>
      </c>
      <c r="D61" t="str">
        <f t="array" ref="D61">IF(TRIM('Raw Data'!D61)&lt;&gt;"",TRIM('Raw Data'!D61),IFERROR(INDEX('Reference Table'!$A$2:$A$46,MATCH(VALUE('Raw Data'!E61),VALUE('Reference Table'!$B$2:$B$46),0)),"Unknown"))</f>
        <v>Milk_Cheese_200g</v>
      </c>
      <c r="E61">
        <f>IF('Raw Data'!E61&lt;&gt;"",'Raw Data'!E61,IFERROR(INDEX('Reference Table'!$B$2:$B$32,MATCH(D61,'Reference Table'!$A$2:$A$32,0)),""))</f>
        <v>110</v>
      </c>
      <c r="F61">
        <f>IF('Raw Data'!F61&lt;&gt;"",'Raw Data'!F61,IFERROR(ROUND('Raw Data'!G61/E61,0),""))</f>
        <v>4</v>
      </c>
      <c r="G61">
        <f>IF('Raw Data'!G61&lt;&gt;"",'Raw Data'!G61,IFERROR(ROUND(E61*F61,2),""))</f>
        <v>440</v>
      </c>
      <c r="H61" t="str">
        <f>'Raw Data'!H61</f>
        <v>Mobile Payment</v>
      </c>
      <c r="I61" t="str">
        <f>IF('Raw Data'!D61="",IF(D61="Unknown","Could not recover","Filled from Price lookup"),IF(TRIM('Raw Data'!D61)&lt;&gt;'Raw Data'!D61,"Trimmed whitespace","OK"))</f>
        <v>OK</v>
      </c>
      <c r="J61" t="str">
        <f t="shared" si="0"/>
        <v>OK</v>
      </c>
    </row>
    <row r="62" spans="1:10">
      <c r="A62" t="str">
        <f>'Raw Data'!A62</f>
        <v>TXN_1394</v>
      </c>
      <c r="B62" s="1">
        <f>'Raw Data'!B62</f>
        <v>45898</v>
      </c>
      <c r="C62" t="str">
        <f>IFERROR(INDEX('Reference Table'!$C$2:$C$46,MATCH(D62,'Reference Table'!$A$2:$A$46,0)),"Unknown")</f>
        <v>Milk Products</v>
      </c>
      <c r="D62" t="str">
        <f t="array" ref="D62">IF(TRIM('Raw Data'!D62)&lt;&gt;"",TRIM('Raw Data'!D62),IFERROR(INDEX('Reference Table'!$A$2:$A$46,MATCH(VALUE('Raw Data'!E62),VALUE('Reference Table'!$B$2:$B$46),0)),"Unknown"))</f>
        <v>Milk_Ghee_500ml</v>
      </c>
      <c r="E62">
        <f>IF('Raw Data'!E62&lt;&gt;"",'Raw Data'!E62,IFERROR(INDEX('Reference Table'!$B$2:$B$32,MATCH(D62,'Reference Table'!$A$2:$A$32,0)),""))</f>
        <v>350</v>
      </c>
      <c r="F62">
        <f>IF('Raw Data'!F62&lt;&gt;"",'Raw Data'!F62,IFERROR(ROUND('Raw Data'!G62/E62,0),""))</f>
        <v>3</v>
      </c>
      <c r="G62">
        <f>IF('Raw Data'!G62&lt;&gt;"",'Raw Data'!G62,IFERROR(ROUND(E62*F62,2),""))</f>
        <v>1050</v>
      </c>
      <c r="H62" t="str">
        <f>'Raw Data'!H62</f>
        <v>Debit Card</v>
      </c>
      <c r="I62" t="str">
        <f>IF('Raw Data'!D62="",IF(D62="Unknown","Could not recover","Filled from Price lookup"),IF(TRIM('Raw Data'!D62)&lt;&gt;'Raw Data'!D62,"Trimmed whitespace","OK"))</f>
        <v>OK</v>
      </c>
      <c r="J62" t="str">
        <f t="shared" si="0"/>
        <v>OK</v>
      </c>
    </row>
    <row r="63" spans="1:10">
      <c r="A63" t="str">
        <f>'Raw Data'!A63</f>
        <v>TXN_1113</v>
      </c>
      <c r="B63" s="1">
        <f>'Raw Data'!B63</f>
        <v>45731</v>
      </c>
      <c r="C63" t="str">
        <f>IFERROR(INDEX('Reference Table'!$C$2:$C$46,MATCH(D63,'Reference Table'!$A$2:$A$46,0)),"Unknown")</f>
        <v>Beverages</v>
      </c>
      <c r="D63" t="str">
        <f t="array" ref="D63">IF(TRIM('Raw Data'!D63)&lt;&gt;"",TRIM('Raw Data'!D63),IFERROR(INDEX('Reference Table'!$A$2:$A$46,MATCH(VALUE('Raw Data'!E63),VALUE('Reference Table'!$B$2:$B$46),0)),"Unknown"))</f>
        <v>Bev_Tea_100g</v>
      </c>
      <c r="E63">
        <f>IF('Raw Data'!E63&lt;&gt;"",'Raw Data'!E63,IFERROR(INDEX('Reference Table'!$B$2:$B$32,MATCH(D63,'Reference Table'!$A$2:$A$32,0)),""))</f>
        <v>90</v>
      </c>
      <c r="F63">
        <f>IF('Raw Data'!F63&lt;&gt;"",'Raw Data'!F63,IFERROR(ROUND('Raw Data'!G63/E63,0),""))</f>
        <v>6</v>
      </c>
      <c r="G63">
        <f>IF('Raw Data'!G63&lt;&gt;"",'Raw Data'!G63,IFERROR(ROUND(E63*F63,2),""))</f>
        <v>540</v>
      </c>
      <c r="H63" t="str">
        <f>'Raw Data'!H63</f>
        <v>Credit Card</v>
      </c>
      <c r="I63" t="str">
        <f>IF('Raw Data'!D63="",IF(D63="Unknown","Could not recover","Filled from Price lookup"),IF(TRIM('Raw Data'!D63)&lt;&gt;'Raw Data'!D63,"Trimmed whitespace","OK"))</f>
        <v>OK</v>
      </c>
      <c r="J63" t="str">
        <f t="shared" si="0"/>
        <v>OK</v>
      </c>
    </row>
    <row r="64" spans="1:10">
      <c r="A64" t="str">
        <f>'Raw Data'!A64</f>
        <v>TXN_1240</v>
      </c>
      <c r="B64" s="1">
        <f>'Raw Data'!B64</f>
        <v>45762</v>
      </c>
      <c r="C64" t="str">
        <f>IFERROR(INDEX('Reference Table'!$C$2:$C$46,MATCH(D64,'Reference Table'!$A$2:$A$46,0)),"Unknown")</f>
        <v>Patisserie</v>
      </c>
      <c r="D64" t="str">
        <f t="array" ref="D64">IF(TRIM('Raw Data'!D64)&lt;&gt;"",TRIM('Raw Data'!D64),IFERROR(INDEX('Reference Table'!$A$2:$A$46,MATCH(VALUE('Raw Data'!E64),VALUE('Reference Table'!$B$2:$B$46),0)),"Unknown"))</f>
        <v>Pat_Cookie_Pack</v>
      </c>
      <c r="E64" t="str">
        <f>IF('Raw Data'!E64&lt;&gt;"",'Raw Data'!E64,IFERROR(INDEX('Reference Table'!$B$2:$B$32,MATCH(D64,'Reference Table'!$A$2:$A$32,0)),""))</f>
        <v/>
      </c>
      <c r="F64">
        <f>IF('Raw Data'!F64&lt;&gt;"",'Raw Data'!F64,IFERROR(ROUND('Raw Data'!G64/E64,0),""))</f>
        <v>6</v>
      </c>
      <c r="G64">
        <f>IF('Raw Data'!G64&lt;&gt;"",'Raw Data'!G64,IFERROR(ROUND(E64*F64,2),""))</f>
        <v>330</v>
      </c>
      <c r="H64" t="str">
        <f>'Raw Data'!H64</f>
        <v>Cash</v>
      </c>
      <c r="I64" t="str">
        <f>IF('Raw Data'!D64="",IF(D64="Unknown","Could not recover","Filled from Price lookup"),IF(TRIM('Raw Data'!D64)&lt;&gt;'Raw Data'!D64,"Trimmed whitespace","OK"))</f>
        <v>OK</v>
      </c>
      <c r="J64" t="str">
        <f t="shared" si="0"/>
        <v>Incomplete</v>
      </c>
    </row>
    <row r="65" spans="1:10">
      <c r="A65" t="str">
        <f>'Raw Data'!A65</f>
        <v>TXN_1391</v>
      </c>
      <c r="B65" s="1">
        <f>'Raw Data'!B65</f>
        <v>45808</v>
      </c>
      <c r="C65" t="str">
        <f>IFERROR(INDEX('Reference Table'!$C$2:$C$46,MATCH(D65,'Reference Table'!$A$2:$A$46,0)),"Unknown")</f>
        <v>Furniture</v>
      </c>
      <c r="D65" t="str">
        <f t="array" ref="D65">IF(TRIM('Raw Data'!D65)&lt;&gt;"",TRIM('Raw Data'!D65),IFERROR(INDEX('Reference Table'!$A$2:$A$46,MATCH(VALUE('Raw Data'!E65),VALUE('Reference Table'!$B$2:$B$46),0)),"Unknown"))</f>
        <v>Furn_Chair</v>
      </c>
      <c r="E65">
        <f>IF('Raw Data'!E65&lt;&gt;"",'Raw Data'!E65,IFERROR(INDEX('Reference Table'!$B$2:$B$32,MATCH(D65,'Reference Table'!$A$2:$A$32,0)),""))</f>
        <v>2500</v>
      </c>
      <c r="F65">
        <f>IF('Raw Data'!F65&lt;&gt;"",'Raw Data'!F65,IFERROR(ROUND('Raw Data'!G65/E65,0),""))</f>
        <v>6</v>
      </c>
      <c r="G65">
        <f>IF('Raw Data'!G65&lt;&gt;"",'Raw Data'!G65,IFERROR(ROUND(E65*F65,2),""))</f>
        <v>15000</v>
      </c>
      <c r="H65" t="str">
        <f>'Raw Data'!H65</f>
        <v>Credit Card</v>
      </c>
      <c r="I65" t="str">
        <f>IF('Raw Data'!D65="",IF(D65="Unknown","Could not recover","Filled from Price lookup"),IF(TRIM('Raw Data'!D65)&lt;&gt;'Raw Data'!D65,"Trimmed whitespace","OK"))</f>
        <v>OK</v>
      </c>
      <c r="J65" t="str">
        <f t="shared" si="0"/>
        <v>OK</v>
      </c>
    </row>
    <row r="66" spans="1:10">
      <c r="A66" t="str">
        <f>'Raw Data'!A66</f>
        <v>TXN_1010</v>
      </c>
      <c r="B66" s="1">
        <f>'Raw Data'!B66</f>
        <v>45805</v>
      </c>
      <c r="C66" t="str">
        <f>IFERROR(INDEX('Reference Table'!$C$2:$C$46,MATCH(D66,'Reference Table'!$A$2:$A$46,0)),"Unknown")</f>
        <v>Furniture</v>
      </c>
      <c r="D66" t="str">
        <f t="array" ref="D66">IF(TRIM('Raw Data'!D66)&lt;&gt;"",TRIM('Raw Data'!D66),IFERROR(INDEX('Reference Table'!$A$2:$A$46,MATCH(VALUE('Raw Data'!E66),VALUE('Reference Table'!$B$2:$B$46),0)),"Unknown"))</f>
        <v>Furn_Cushion</v>
      </c>
      <c r="E66">
        <f>IF('Raw Data'!E66&lt;&gt;"",'Raw Data'!E66,IFERROR(INDEX('Reference Table'!$B$2:$B$32,MATCH(D66,'Reference Table'!$A$2:$A$32,0)),""))</f>
        <v>350</v>
      </c>
      <c r="F66">
        <f>IF('Raw Data'!F66&lt;&gt;"",'Raw Data'!F66,IFERROR(ROUND('Raw Data'!G66/E66,0),""))</f>
        <v>3</v>
      </c>
      <c r="G66">
        <f>IF('Raw Data'!G66&lt;&gt;"",'Raw Data'!G66,IFERROR(ROUND(E66*F66,2),""))</f>
        <v>1050</v>
      </c>
      <c r="H66" t="str">
        <f>'Raw Data'!H66</f>
        <v>Credit Card</v>
      </c>
      <c r="I66" t="str">
        <f>IF('Raw Data'!D66="",IF(D66="Unknown","Could not recover","Filled from Price lookup"),IF(TRIM('Raw Data'!D66)&lt;&gt;'Raw Data'!D66,"Trimmed whitespace","OK"))</f>
        <v>OK</v>
      </c>
      <c r="J66" t="str">
        <f t="shared" si="0"/>
        <v>OK</v>
      </c>
    </row>
    <row r="67" spans="1:10">
      <c r="A67" t="str">
        <f>'Raw Data'!A67</f>
        <v>TXN_1486</v>
      </c>
      <c r="B67" s="1">
        <f>'Raw Data'!B67</f>
        <v>45851</v>
      </c>
      <c r="C67" t="str">
        <f>IFERROR(INDEX('Reference Table'!$C$2:$C$46,MATCH(D67,'Reference Table'!$A$2:$A$46,0)),"Unknown")</f>
        <v>Milk Products</v>
      </c>
      <c r="D67" t="str">
        <f t="array" ref="D67">IF(TRIM('Raw Data'!D67)&lt;&gt;"",TRIM('Raw Data'!D67),IFERROR(INDEX('Reference Table'!$A$2:$A$46,MATCH(VALUE('Raw Data'!E67),VALUE('Reference Table'!$B$2:$B$46),0)),"Unknown"))</f>
        <v>Milk_Ghee_500ml</v>
      </c>
      <c r="E67">
        <f>IF('Raw Data'!E67&lt;&gt;"",'Raw Data'!E67,IFERROR(INDEX('Reference Table'!$B$2:$B$32,MATCH(D67,'Reference Table'!$A$2:$A$32,0)),""))</f>
        <v>350</v>
      </c>
      <c r="F67">
        <f>IF('Raw Data'!F67&lt;&gt;"",'Raw Data'!F67,IFERROR(ROUND('Raw Data'!G67/E67,0),""))</f>
        <v>1</v>
      </c>
      <c r="G67">
        <f>IF('Raw Data'!G67&lt;&gt;"",'Raw Data'!G67,IFERROR(ROUND(E67*F67,2),""))</f>
        <v>350</v>
      </c>
      <c r="H67" t="str">
        <f>'Raw Data'!H67</f>
        <v>Cash</v>
      </c>
      <c r="I67" t="str">
        <f>IF('Raw Data'!D67="",IF(D67="Unknown","Could not recover","Filled from Price lookup"),IF(TRIM('Raw Data'!D67)&lt;&gt;'Raw Data'!D67,"Trimmed whitespace","OK"))</f>
        <v>OK</v>
      </c>
      <c r="J67" t="str">
        <f t="shared" ref="J67:J130" si="1">IF(AND(E67&lt;&gt;"",F67&lt;&gt;"",G67&lt;&gt;""),IF(ROUND(E67*F67,2)=ROUND(G67,2),"OK","Mismatch"),"Incomplete")</f>
        <v>OK</v>
      </c>
    </row>
    <row r="68" spans="1:10">
      <c r="A68" t="str">
        <f>'Raw Data'!A68</f>
        <v>TXN_1131</v>
      </c>
      <c r="B68" s="1">
        <f>'Raw Data'!B68</f>
        <v>45719</v>
      </c>
      <c r="C68" t="str">
        <f>IFERROR(INDEX('Reference Table'!$C$2:$C$46,MATCH(D68,'Reference Table'!$A$2:$A$46,0)),"Unknown")</f>
        <v>Furniture</v>
      </c>
      <c r="D68" t="str">
        <f t="array" ref="D68">IF(TRIM('Raw Data'!D68)&lt;&gt;"",TRIM('Raw Data'!D68),IFERROR(INDEX('Reference Table'!$A$2:$A$46,MATCH(VALUE('Raw Data'!E68),VALUE('Reference Table'!$B$2:$B$46),0)),"Unknown"))</f>
        <v>Furn_Cushion</v>
      </c>
      <c r="E68">
        <f>IF('Raw Data'!E68&lt;&gt;"",'Raw Data'!E68,IFERROR(INDEX('Reference Table'!$B$2:$B$32,MATCH(D68,'Reference Table'!$A$2:$A$32,0)),""))</f>
        <v>350</v>
      </c>
      <c r="F68">
        <f>IF('Raw Data'!F68&lt;&gt;"",'Raw Data'!F68,IFERROR(ROUND('Raw Data'!G68/E68,0),""))</f>
        <v>2</v>
      </c>
      <c r="G68">
        <f>IF('Raw Data'!G68&lt;&gt;"",'Raw Data'!G68,IFERROR(ROUND(E68*F68,2),""))</f>
        <v>700</v>
      </c>
      <c r="H68" t="str">
        <f>'Raw Data'!H68</f>
        <v>Credit Card</v>
      </c>
      <c r="I68" t="str">
        <f>IF('Raw Data'!D68="",IF(D68="Unknown","Could not recover","Filled from Price lookup"),IF(TRIM('Raw Data'!D68)&lt;&gt;'Raw Data'!D68,"Trimmed whitespace","OK"))</f>
        <v>OK</v>
      </c>
      <c r="J68" t="str">
        <f t="shared" si="1"/>
        <v>OK</v>
      </c>
    </row>
    <row r="69" spans="1:10">
      <c r="A69" t="str">
        <f>'Raw Data'!A69</f>
        <v>TXN_1157</v>
      </c>
      <c r="B69" s="1">
        <f>'Raw Data'!B69</f>
        <v>45716</v>
      </c>
      <c r="C69" t="str">
        <f>IFERROR(INDEX('Reference Table'!$C$2:$C$46,MATCH(D69,'Reference Table'!$A$2:$A$46,0)),"Unknown")</f>
        <v>Milk Products</v>
      </c>
      <c r="D69" t="str">
        <f t="array" ref="D69">IF(TRIM('Raw Data'!D69)&lt;&gt;"",TRIM('Raw Data'!D69),IFERROR(INDEX('Reference Table'!$A$2:$A$46,MATCH(VALUE('Raw Data'!E69),VALUE('Reference Table'!$B$2:$B$46),0)),"Unknown"))</f>
        <v>Milk_Yogurt_400g</v>
      </c>
      <c r="E69" t="str">
        <f>IF('Raw Data'!E69&lt;&gt;"",'Raw Data'!E69,IFERROR(INDEX('Reference Table'!$B$2:$B$32,MATCH(D69,'Reference Table'!$A$2:$A$32,0)),""))</f>
        <v/>
      </c>
      <c r="F69">
        <f>IF('Raw Data'!F69&lt;&gt;"",'Raw Data'!F69,IFERROR(ROUND('Raw Data'!G69/E69,0),""))</f>
        <v>3</v>
      </c>
      <c r="G69">
        <f>IF('Raw Data'!G69&lt;&gt;"",'Raw Data'!G69,IFERROR(ROUND(E69*F69,2),""))</f>
        <v>180</v>
      </c>
      <c r="H69" t="str">
        <f>'Raw Data'!H69</f>
        <v>Debit Card</v>
      </c>
      <c r="I69" t="str">
        <f>IF('Raw Data'!D69="",IF(D69="Unknown","Could not recover","Filled from Price lookup"),IF(TRIM('Raw Data'!D69)&lt;&gt;'Raw Data'!D69,"Trimmed whitespace","OK"))</f>
        <v>OK</v>
      </c>
      <c r="J69" t="str">
        <f t="shared" si="1"/>
        <v>Incomplete</v>
      </c>
    </row>
    <row r="70" spans="1:10">
      <c r="A70" t="str">
        <f>'Raw Data'!A70</f>
        <v>TXN_1016</v>
      </c>
      <c r="B70" s="1">
        <f>'Raw Data'!B70</f>
        <v>45894</v>
      </c>
      <c r="C70" t="str">
        <f>IFERROR(INDEX('Reference Table'!$C$2:$C$46,MATCH(D70,'Reference Table'!$A$2:$A$46,0)),"Unknown")</f>
        <v>Butchers</v>
      </c>
      <c r="D70" t="str">
        <f t="array" ref="D70">IF(TRIM('Raw Data'!D70)&lt;&gt;"",TRIM('Raw Data'!D70),IFERROR(INDEX('Reference Table'!$A$2:$A$46,MATCH(VALUE('Raw Data'!E70),VALUE('Reference Table'!$B$2:$B$46),0)),"Unknown"))</f>
        <v>Meat_Bacon_250g</v>
      </c>
      <c r="E70">
        <f>IF('Raw Data'!E70&lt;&gt;"",'Raw Data'!E70,IFERROR(INDEX('Reference Table'!$B$2:$B$32,MATCH(D70,'Reference Table'!$A$2:$A$32,0)),""))</f>
        <v>190</v>
      </c>
      <c r="F70">
        <f>IF('Raw Data'!F70&lt;&gt;"",'Raw Data'!F70,IFERROR(ROUND('Raw Data'!G70/E70,0),""))</f>
        <v>3</v>
      </c>
      <c r="G70">
        <f>IF('Raw Data'!G70&lt;&gt;"",'Raw Data'!G70,IFERROR(ROUND(E70*F70,2),""))</f>
        <v>570</v>
      </c>
      <c r="H70" t="str">
        <f>'Raw Data'!H70</f>
        <v>Credit Card</v>
      </c>
      <c r="I70" t="str">
        <f>IF('Raw Data'!D70="",IF(D70="Unknown","Could not recover","Filled from Price lookup"),IF(TRIM('Raw Data'!D70)&lt;&gt;'Raw Data'!D70,"Trimmed whitespace","OK"))</f>
        <v>OK</v>
      </c>
      <c r="J70" t="str">
        <f t="shared" si="1"/>
        <v>OK</v>
      </c>
    </row>
    <row r="71" spans="1:10">
      <c r="A71" t="str">
        <f>'Raw Data'!A71</f>
        <v>TXN_1339</v>
      </c>
      <c r="B71" s="1">
        <f>'Raw Data'!B71</f>
        <v>45678</v>
      </c>
      <c r="C71" t="str">
        <f>IFERROR(INDEX('Reference Table'!$C$2:$C$46,MATCH(D71,'Reference Table'!$A$2:$A$46,0)),"Unknown")</f>
        <v>Patisserie</v>
      </c>
      <c r="D71" t="str">
        <f t="array" ref="D71">IF(TRIM('Raw Data'!D71)&lt;&gt;"",TRIM('Raw Data'!D71),IFERROR(INDEX('Reference Table'!$A$2:$A$46,MATCH(VALUE('Raw Data'!E71),VALUE('Reference Table'!$B$2:$B$46),0)),"Unknown"))</f>
        <v>Pat_Croissant</v>
      </c>
      <c r="E71">
        <f>IF('Raw Data'!E71&lt;&gt;"",'Raw Data'!E71,IFERROR(INDEX('Reference Table'!$B$2:$B$32,MATCH(D71,'Reference Table'!$A$2:$A$32,0)),""))</f>
        <v>40</v>
      </c>
      <c r="F71">
        <f>IF('Raw Data'!F71&lt;&gt;"",'Raw Data'!F71,IFERROR(ROUND('Raw Data'!G71/E71,0),""))</f>
        <v>4</v>
      </c>
      <c r="G71">
        <f>IF('Raw Data'!G71&lt;&gt;"",'Raw Data'!G71,IFERROR(ROUND(E71*F71,2),""))</f>
        <v>160</v>
      </c>
      <c r="H71" t="str">
        <f>'Raw Data'!H71</f>
        <v>Debit Card</v>
      </c>
      <c r="I71" t="str">
        <f>IF('Raw Data'!D71="",IF(D71="Unknown","Could not recover","Filled from Price lookup"),IF(TRIM('Raw Data'!D71)&lt;&gt;'Raw Data'!D71,"Trimmed whitespace","OK"))</f>
        <v>OK</v>
      </c>
      <c r="J71" t="str">
        <f t="shared" si="1"/>
        <v>OK</v>
      </c>
    </row>
    <row r="72" spans="1:10">
      <c r="A72" t="str">
        <f>'Raw Data'!A72</f>
        <v>TXN_1319</v>
      </c>
      <c r="B72" s="1">
        <f>'Raw Data'!B72</f>
        <v>45737</v>
      </c>
      <c r="C72" t="str">
        <f>IFERROR(INDEX('Reference Table'!$C$2:$C$46,MATCH(D72,'Reference Table'!$A$2:$A$46,0)),"Unknown")</f>
        <v>Food</v>
      </c>
      <c r="D72" t="str">
        <f t="array" ref="D72">IF(TRIM('Raw Data'!D72)&lt;&gt;"",TRIM('Raw Data'!D72),IFERROR(INDEX('Reference Table'!$A$2:$A$46,MATCH(VALUE('Raw Data'!E72),VALUE('Reference Table'!$B$2:$B$46),0)),"Unknown"))</f>
        <v>Food_Oats_1kg</v>
      </c>
      <c r="E72">
        <f>IF('Raw Data'!E72&lt;&gt;"",'Raw Data'!E72,IFERROR(INDEX('Reference Table'!$B$2:$B$32,MATCH(D72,'Reference Table'!$A$2:$A$32,0)),""))</f>
        <v>120</v>
      </c>
      <c r="F72">
        <f>IF('Raw Data'!F72&lt;&gt;"",'Raw Data'!F72,IFERROR(ROUND('Raw Data'!G72/E72,0),""))</f>
        <v>3</v>
      </c>
      <c r="G72">
        <f>IF('Raw Data'!G72&lt;&gt;"",'Raw Data'!G72,IFERROR(ROUND(E72*F72,2),""))</f>
        <v>360</v>
      </c>
      <c r="H72" t="str">
        <f>'Raw Data'!H72</f>
        <v>Mobile Payment</v>
      </c>
      <c r="I72" t="str">
        <f>IF('Raw Data'!D72="",IF(D72="Unknown","Could not recover","Filled from Price lookup"),IF(TRIM('Raw Data'!D72)&lt;&gt;'Raw Data'!D72,"Trimmed whitespace","OK"))</f>
        <v>OK</v>
      </c>
      <c r="J72" t="str">
        <f t="shared" si="1"/>
        <v>OK</v>
      </c>
    </row>
    <row r="73" spans="1:10">
      <c r="A73" t="str">
        <f>'Raw Data'!A73</f>
        <v>TXN_1174</v>
      </c>
      <c r="B73" s="1">
        <f>'Raw Data'!B73</f>
        <v>45863</v>
      </c>
      <c r="C73" t="str">
        <f>IFERROR(INDEX('Reference Table'!$C$2:$C$46,MATCH(D73,'Reference Table'!$A$2:$A$46,0)),"Unknown")</f>
        <v>Furniture</v>
      </c>
      <c r="D73" t="str">
        <f t="array" ref="D73">IF(TRIM('Raw Data'!D73)&lt;&gt;"",TRIM('Raw Data'!D73),IFERROR(INDEX('Reference Table'!$A$2:$A$46,MATCH(VALUE('Raw Data'!E73),VALUE('Reference Table'!$B$2:$B$46),0)),"Unknown"))</f>
        <v>Furn_Lamp</v>
      </c>
      <c r="E73">
        <f>IF('Raw Data'!E73&lt;&gt;"",'Raw Data'!E73,IFERROR(INDEX('Reference Table'!$B$2:$B$32,MATCH(D73,'Reference Table'!$A$2:$A$32,0)),""))</f>
        <v>700</v>
      </c>
      <c r="F73">
        <f>IF('Raw Data'!F73&lt;&gt;"",'Raw Data'!F73,IFERROR(ROUND('Raw Data'!G73/E73,0),""))</f>
        <v>6</v>
      </c>
      <c r="G73">
        <f>IF('Raw Data'!G73&lt;&gt;"",'Raw Data'!G73,IFERROR(ROUND(E73*F73,2),""))</f>
        <v>4200</v>
      </c>
      <c r="H73" t="str">
        <f>'Raw Data'!H73</f>
        <v>Credit Card</v>
      </c>
      <c r="I73" t="str">
        <f>IF('Raw Data'!D73="",IF(D73="Unknown","Could not recover","Filled from Price lookup"),IF(TRIM('Raw Data'!D73)&lt;&gt;'Raw Data'!D73,"Trimmed whitespace","OK"))</f>
        <v>Trimmed whitespace</v>
      </c>
      <c r="J73" t="str">
        <f t="shared" si="1"/>
        <v>OK</v>
      </c>
    </row>
    <row r="74" spans="1:10">
      <c r="A74" t="str">
        <f>'Raw Data'!A74</f>
        <v>TXN_1584</v>
      </c>
      <c r="B74" s="1">
        <f>'Raw Data'!B74</f>
        <v>45682</v>
      </c>
      <c r="C74" t="str">
        <f>IFERROR(INDEX('Reference Table'!$C$2:$C$46,MATCH(D74,'Reference Table'!$A$2:$A$46,0)),"Unknown")</f>
        <v>Butchers</v>
      </c>
      <c r="D74" t="str">
        <f t="array" ref="D74">IF(TRIM('Raw Data'!D74)&lt;&gt;"",TRIM('Raw Data'!D74),IFERROR(INDEX('Reference Table'!$A$2:$A$46,MATCH(VALUE('Raw Data'!E74),VALUE('Reference Table'!$B$2:$B$46),0)),"Unknown"))</f>
        <v>Meat_Fish_1kg</v>
      </c>
      <c r="E74">
        <f>IF('Raw Data'!E74&lt;&gt;"",'Raw Data'!E74,IFERROR(INDEX('Reference Table'!$B$2:$B$32,MATCH(D74,'Reference Table'!$A$2:$A$32,0)),""))</f>
        <v>380</v>
      </c>
      <c r="F74">
        <f>IF('Raw Data'!F74&lt;&gt;"",'Raw Data'!F74,IFERROR(ROUND('Raw Data'!G74/E74,0),""))</f>
        <v>4</v>
      </c>
      <c r="G74">
        <f>IF('Raw Data'!G74&lt;&gt;"",'Raw Data'!G74,IFERROR(ROUND(E74*F74,2),""))</f>
        <v>1520</v>
      </c>
      <c r="H74" t="str">
        <f>'Raw Data'!H74</f>
        <v>Mobile Payment</v>
      </c>
      <c r="I74" t="str">
        <f>IF('Raw Data'!D74="",IF(D74="Unknown","Could not recover","Filled from Price lookup"),IF(TRIM('Raw Data'!D74)&lt;&gt;'Raw Data'!D74,"Trimmed whitespace","OK"))</f>
        <v>OK</v>
      </c>
      <c r="J74" t="str">
        <f t="shared" si="1"/>
        <v>OK</v>
      </c>
    </row>
    <row r="75" spans="1:10">
      <c r="A75" t="str">
        <f>'Raw Data'!A75</f>
        <v>TXN_1124</v>
      </c>
      <c r="B75" s="1">
        <f>'Raw Data'!B75</f>
        <v>45822</v>
      </c>
      <c r="C75" t="str">
        <f>IFERROR(INDEX('Reference Table'!$C$2:$C$46,MATCH(D75,'Reference Table'!$A$2:$A$46,0)),"Unknown")</f>
        <v>Beverages</v>
      </c>
      <c r="D75" t="str">
        <f t="array" ref="D75">IF(TRIM('Raw Data'!D75)&lt;&gt;"",TRIM('Raw Data'!D75),IFERROR(INDEX('Reference Table'!$A$2:$A$46,MATCH(VALUE('Raw Data'!E75),VALUE('Reference Table'!$B$2:$B$46),0)),"Unknown"))</f>
        <v>Bev_Juice_500ml</v>
      </c>
      <c r="E75">
        <f>IF('Raw Data'!E75&lt;&gt;"",'Raw Data'!E75,IFERROR(INDEX('Reference Table'!$B$2:$B$32,MATCH(D75,'Reference Table'!$A$2:$A$32,0)),""))</f>
        <v>45</v>
      </c>
      <c r="F75">
        <f>IF('Raw Data'!F75&lt;&gt;"",'Raw Data'!F75,IFERROR(ROUND('Raw Data'!G75/E75,0),""))</f>
        <v>1</v>
      </c>
      <c r="G75">
        <f>IF('Raw Data'!G75&lt;&gt;"",'Raw Data'!G75,IFERROR(ROUND(E75*F75,2),""))</f>
        <v>45</v>
      </c>
      <c r="H75" t="str">
        <f>'Raw Data'!H75</f>
        <v>Mobile Payment</v>
      </c>
      <c r="I75" t="str">
        <f>IF('Raw Data'!D75="",IF(D75="Unknown","Could not recover","Filled from Price lookup"),IF(TRIM('Raw Data'!D75)&lt;&gt;'Raw Data'!D75,"Trimmed whitespace","OK"))</f>
        <v>OK</v>
      </c>
      <c r="J75" t="str">
        <f t="shared" si="1"/>
        <v>OK</v>
      </c>
    </row>
    <row r="76" spans="1:10">
      <c r="A76" t="str">
        <f>'Raw Data'!A76</f>
        <v>TXN_1221</v>
      </c>
      <c r="B76" s="1">
        <f>'Raw Data'!B76</f>
        <v>45734</v>
      </c>
      <c r="C76" t="str">
        <f>IFERROR(INDEX('Reference Table'!$C$2:$C$46,MATCH(D76,'Reference Table'!$A$2:$A$46,0)),"Unknown")</f>
        <v>Butchers</v>
      </c>
      <c r="D76" t="str">
        <f t="array" ref="D76">IF(TRIM('Raw Data'!D76)&lt;&gt;"",TRIM('Raw Data'!D76),IFERROR(INDEX('Reference Table'!$A$2:$A$46,MATCH(VALUE('Raw Data'!E76),VALUE('Reference Table'!$B$2:$B$46),0)),"Unknown"))</f>
        <v>Meat_Fish_1kg</v>
      </c>
      <c r="E76">
        <f>IF('Raw Data'!E76&lt;&gt;"",'Raw Data'!E76,IFERROR(INDEX('Reference Table'!$B$2:$B$32,MATCH(D76,'Reference Table'!$A$2:$A$32,0)),""))</f>
        <v>380</v>
      </c>
      <c r="F76">
        <f>IF('Raw Data'!F76&lt;&gt;"",'Raw Data'!F76,IFERROR(ROUND('Raw Data'!G76/E76,0),""))</f>
        <v>5</v>
      </c>
      <c r="G76">
        <f>IF('Raw Data'!G76&lt;&gt;"",'Raw Data'!G76,IFERROR(ROUND(E76*F76,2),""))</f>
        <v>1900</v>
      </c>
      <c r="H76" t="str">
        <f>'Raw Data'!H76</f>
        <v>Mobile Payment</v>
      </c>
      <c r="I76" t="str">
        <f>IF('Raw Data'!D76="",IF(D76="Unknown","Could not recover","Filled from Price lookup"),IF(TRIM('Raw Data'!D76)&lt;&gt;'Raw Data'!D76,"Trimmed whitespace","OK"))</f>
        <v>OK</v>
      </c>
      <c r="J76" t="str">
        <f t="shared" si="1"/>
        <v>OK</v>
      </c>
    </row>
    <row r="77" spans="1:10">
      <c r="A77" t="str">
        <f>'Raw Data'!A77</f>
        <v>TXN_1532</v>
      </c>
      <c r="B77" s="1">
        <f>'Raw Data'!B77</f>
        <v>45877</v>
      </c>
      <c r="C77" t="str">
        <f>IFERROR(INDEX('Reference Table'!$C$2:$C$46,MATCH(D77,'Reference Table'!$A$2:$A$46,0)),"Unknown")</f>
        <v>Food</v>
      </c>
      <c r="D77" t="str">
        <f t="array" ref="D77">IF(TRIM('Raw Data'!D77)&lt;&gt;"",TRIM('Raw Data'!D77),IFERROR(INDEX('Reference Table'!$A$2:$A$46,MATCH(VALUE('Raw Data'!E77),VALUE('Reference Table'!$B$2:$B$46),0)),"Unknown"))</f>
        <v>Food_Rice_1kg</v>
      </c>
      <c r="E77">
        <f>IF('Raw Data'!E77&lt;&gt;"",'Raw Data'!E77,IFERROR(INDEX('Reference Table'!$B$2:$B$32,MATCH(D77,'Reference Table'!$A$2:$A$32,0)),""))</f>
        <v>70</v>
      </c>
      <c r="F77">
        <f>IF('Raw Data'!F77&lt;&gt;"",'Raw Data'!F77,IFERROR(ROUND('Raw Data'!G77/E77,0),""))</f>
        <v>6</v>
      </c>
      <c r="G77">
        <f>IF('Raw Data'!G77&lt;&gt;"",'Raw Data'!G77,IFERROR(ROUND(E77*F77,2),""))</f>
        <v>420</v>
      </c>
      <c r="H77" t="str">
        <f>'Raw Data'!H77</f>
        <v>Cash</v>
      </c>
      <c r="I77" t="str">
        <f>IF('Raw Data'!D77="",IF(D77="Unknown","Could not recover","Filled from Price lookup"),IF(TRIM('Raw Data'!D77)&lt;&gt;'Raw Data'!D77,"Trimmed whitespace","OK"))</f>
        <v>Filled from Price lookup</v>
      </c>
      <c r="J77" t="str">
        <f t="shared" si="1"/>
        <v>OK</v>
      </c>
    </row>
    <row r="78" spans="1:10">
      <c r="A78" t="str">
        <f>'Raw Data'!A78</f>
        <v>TXN_1012</v>
      </c>
      <c r="B78" s="1">
        <f>'Raw Data'!B78</f>
        <v>45755</v>
      </c>
      <c r="C78" t="str">
        <f>IFERROR(INDEX('Reference Table'!$C$2:$C$46,MATCH(D78,'Reference Table'!$A$2:$A$46,0)),"Unknown")</f>
        <v>Milk Products</v>
      </c>
      <c r="D78" t="str">
        <f t="array" ref="D78">IF(TRIM('Raw Data'!D78)&lt;&gt;"",TRIM('Raw Data'!D78),IFERROR(INDEX('Reference Table'!$A$2:$A$46,MATCH(VALUE('Raw Data'!E78),VALUE('Reference Table'!$B$2:$B$46),0)),"Unknown"))</f>
        <v>Milk_Ghee_500ml</v>
      </c>
      <c r="E78">
        <f>IF('Raw Data'!E78&lt;&gt;"",'Raw Data'!E78,IFERROR(INDEX('Reference Table'!$B$2:$B$32,MATCH(D78,'Reference Table'!$A$2:$A$32,0)),""))</f>
        <v>350</v>
      </c>
      <c r="F78">
        <f>IF('Raw Data'!F78&lt;&gt;"",'Raw Data'!F78,IFERROR(ROUND('Raw Data'!G78/E78,0),""))</f>
        <v>1</v>
      </c>
      <c r="G78">
        <f>IF('Raw Data'!G78&lt;&gt;"",'Raw Data'!G78,IFERROR(ROUND(E78*F78,2),""))</f>
        <v>350</v>
      </c>
      <c r="H78" t="str">
        <f>'Raw Data'!H78</f>
        <v>Debit Card</v>
      </c>
      <c r="I78" t="str">
        <f>IF('Raw Data'!D78="",IF(D78="Unknown","Could not recover","Filled from Price lookup"),IF(TRIM('Raw Data'!D78)&lt;&gt;'Raw Data'!D78,"Trimmed whitespace","OK"))</f>
        <v>OK</v>
      </c>
      <c r="J78" t="str">
        <f t="shared" si="1"/>
        <v>OK</v>
      </c>
    </row>
    <row r="79" spans="1:10">
      <c r="A79" t="str">
        <f>'Raw Data'!A79</f>
        <v>TXN_1387</v>
      </c>
      <c r="B79" s="1">
        <f>'Raw Data'!B79</f>
        <v>45814</v>
      </c>
      <c r="C79" t="str">
        <f>IFERROR(INDEX('Reference Table'!$C$2:$C$46,MATCH(D79,'Reference Table'!$A$2:$A$46,0)),"Unknown")</f>
        <v>Furniture</v>
      </c>
      <c r="D79" t="str">
        <f t="array" ref="D79">IF(TRIM('Raw Data'!D79)&lt;&gt;"",TRIM('Raw Data'!D79),IFERROR(INDEX('Reference Table'!$A$2:$A$46,MATCH(VALUE('Raw Data'!E79),VALUE('Reference Table'!$B$2:$B$46),0)),"Unknown"))</f>
        <v>Furn_Chair</v>
      </c>
      <c r="E79">
        <f>IF('Raw Data'!E79&lt;&gt;"",'Raw Data'!E79,IFERROR(INDEX('Reference Table'!$B$2:$B$32,MATCH(D79,'Reference Table'!$A$2:$A$32,0)),""))</f>
        <v>2500</v>
      </c>
      <c r="F79">
        <f>IF('Raw Data'!F79&lt;&gt;"",'Raw Data'!F79,IFERROR(ROUND('Raw Data'!G79/E79,0),""))</f>
        <v>2</v>
      </c>
      <c r="G79">
        <f>IF('Raw Data'!G79&lt;&gt;"",'Raw Data'!G79,IFERROR(ROUND(E79*F79,2),""))</f>
        <v>5000</v>
      </c>
      <c r="H79" t="str">
        <f>'Raw Data'!H79</f>
        <v>Cash</v>
      </c>
      <c r="I79" t="str">
        <f>IF('Raw Data'!D79="",IF(D79="Unknown","Could not recover","Filled from Price lookup"),IF(TRIM('Raw Data'!D79)&lt;&gt;'Raw Data'!D79,"Trimmed whitespace","OK"))</f>
        <v>Filled from Price lookup</v>
      </c>
      <c r="J79" t="str">
        <f t="shared" si="1"/>
        <v>OK</v>
      </c>
    </row>
    <row r="80" spans="1:10">
      <c r="A80" t="str">
        <f>'Raw Data'!A80</f>
        <v>TXN_1278</v>
      </c>
      <c r="B80" s="1">
        <f>'Raw Data'!B80</f>
        <v>45854</v>
      </c>
      <c r="C80" t="str">
        <f>IFERROR(INDEX('Reference Table'!$C$2:$C$46,MATCH(D80,'Reference Table'!$A$2:$A$46,0)),"Unknown")</f>
        <v>Electric Accessories</v>
      </c>
      <c r="D80" t="str">
        <f t="array" ref="D80">IF(TRIM('Raw Data'!D80)&lt;&gt;"",TRIM('Raw Data'!D80),IFERROR(INDEX('Reference Table'!$A$2:$A$46,MATCH(VALUE('Raw Data'!E80),VALUE('Reference Table'!$B$2:$B$46),0)),"Unknown"))</f>
        <v>Elec_Earphones</v>
      </c>
      <c r="E80">
        <f>IF('Raw Data'!E80&lt;&gt;"",'Raw Data'!E80,IFERROR(INDEX('Reference Table'!$B$2:$B$32,MATCH(D80,'Reference Table'!$A$2:$A$32,0)),""))</f>
        <v>350</v>
      </c>
      <c r="F80">
        <f>IF('Raw Data'!F80&lt;&gt;"",'Raw Data'!F80,IFERROR(ROUND('Raw Data'!G80/E80,0),""))</f>
        <v>5</v>
      </c>
      <c r="G80">
        <f>IF('Raw Data'!G80&lt;&gt;"",'Raw Data'!G80,IFERROR(ROUND(E80*F80,2),""))</f>
        <v>1750</v>
      </c>
      <c r="H80" t="str">
        <f>'Raw Data'!H80</f>
        <v>Cash</v>
      </c>
      <c r="I80" t="str">
        <f>IF('Raw Data'!D80="",IF(D80="Unknown","Could not recover","Filled from Price lookup"),IF(TRIM('Raw Data'!D80)&lt;&gt;'Raw Data'!D80,"Trimmed whitespace","OK"))</f>
        <v>OK</v>
      </c>
      <c r="J80" t="str">
        <f t="shared" si="1"/>
        <v>OK</v>
      </c>
    </row>
    <row r="81" spans="1:10">
      <c r="A81" t="str">
        <f>'Raw Data'!A81</f>
        <v>TXN_1354</v>
      </c>
      <c r="B81" s="1">
        <f>'Raw Data'!B81</f>
        <v>45845</v>
      </c>
      <c r="C81" t="str">
        <f>IFERROR(INDEX('Reference Table'!$C$2:$C$46,MATCH(D81,'Reference Table'!$A$2:$A$46,0)),"Unknown")</f>
        <v>Butchers</v>
      </c>
      <c r="D81" t="str">
        <f t="array" ref="D81">IF(TRIM('Raw Data'!D81)&lt;&gt;"",TRIM('Raw Data'!D81),IFERROR(INDEX('Reference Table'!$A$2:$A$46,MATCH(VALUE('Raw Data'!E81),VALUE('Reference Table'!$B$2:$B$46),0)),"Unknown"))</f>
        <v>Meat_Fish_1kg</v>
      </c>
      <c r="E81">
        <f>IF('Raw Data'!E81&lt;&gt;"",'Raw Data'!E81,IFERROR(INDEX('Reference Table'!$B$2:$B$32,MATCH(D81,'Reference Table'!$A$2:$A$32,0)),""))</f>
        <v>380</v>
      </c>
      <c r="F81">
        <f>IF('Raw Data'!F81&lt;&gt;"",'Raw Data'!F81,IFERROR(ROUND('Raw Data'!G81/E81,0),""))</f>
        <v>2</v>
      </c>
      <c r="G81">
        <f>IF('Raw Data'!G81&lt;&gt;"",'Raw Data'!G81,IFERROR(ROUND(E81*F81,2),""))</f>
        <v>760</v>
      </c>
      <c r="H81" t="str">
        <f>'Raw Data'!H81</f>
        <v>Cash</v>
      </c>
      <c r="I81" t="str">
        <f>IF('Raw Data'!D81="",IF(D81="Unknown","Could not recover","Filled from Price lookup"),IF(TRIM('Raw Data'!D81)&lt;&gt;'Raw Data'!D81,"Trimmed whitespace","OK"))</f>
        <v>OK</v>
      </c>
      <c r="J81" t="str">
        <f t="shared" si="1"/>
        <v>OK</v>
      </c>
    </row>
    <row r="82" spans="1:10">
      <c r="A82" t="str">
        <f>'Raw Data'!A82</f>
        <v>TXN_1282</v>
      </c>
      <c r="B82" s="1">
        <f>'Raw Data'!B82</f>
        <v>45849</v>
      </c>
      <c r="C82" t="str">
        <f>IFERROR(INDEX('Reference Table'!$C$2:$C$46,MATCH(D82,'Reference Table'!$A$2:$A$46,0)),"Unknown")</f>
        <v>Beverages</v>
      </c>
      <c r="D82" t="str">
        <f t="array" ref="D82">IF(TRIM('Raw Data'!D82)&lt;&gt;"",TRIM('Raw Data'!D82),IFERROR(INDEX('Reference Table'!$A$2:$A$46,MATCH(VALUE('Raw Data'!E82),VALUE('Reference Table'!$B$2:$B$46),0)),"Unknown"))</f>
        <v>Bev_Juice_500ml</v>
      </c>
      <c r="E82">
        <f>IF('Raw Data'!E82&lt;&gt;"",'Raw Data'!E82,IFERROR(INDEX('Reference Table'!$B$2:$B$32,MATCH(D82,'Reference Table'!$A$2:$A$32,0)),""))</f>
        <v>45</v>
      </c>
      <c r="F82">
        <f>IF('Raw Data'!F82&lt;&gt;"",'Raw Data'!F82,IFERROR(ROUND('Raw Data'!G82/E82,0),""))</f>
        <v>1</v>
      </c>
      <c r="G82">
        <f>IF('Raw Data'!G82&lt;&gt;"",'Raw Data'!G82,IFERROR(ROUND(E82*F82,2),""))</f>
        <v>67.5</v>
      </c>
      <c r="H82" t="str">
        <f>'Raw Data'!H82</f>
        <v>Credit Card</v>
      </c>
      <c r="I82" t="str">
        <f>IF('Raw Data'!D82="",IF(D82="Unknown","Could not recover","Filled from Price lookup"),IF(TRIM('Raw Data'!D82)&lt;&gt;'Raw Data'!D82,"Trimmed whitespace","OK"))</f>
        <v>OK</v>
      </c>
      <c r="J82" t="str">
        <f t="shared" si="1"/>
        <v>Mismatch</v>
      </c>
    </row>
    <row r="83" spans="1:10">
      <c r="A83" t="str">
        <f>'Raw Data'!A83</f>
        <v>TXN_1508</v>
      </c>
      <c r="B83" s="1">
        <f>'Raw Data'!B83</f>
        <v>45890</v>
      </c>
      <c r="C83" t="str">
        <f>IFERROR(INDEX('Reference Table'!$C$2:$C$46,MATCH(D83,'Reference Table'!$A$2:$A$46,0)),"Unknown")</f>
        <v>Butchers</v>
      </c>
      <c r="D83" t="str">
        <f t="array" ref="D83">IF(TRIM('Raw Data'!D83)&lt;&gt;"",TRIM('Raw Data'!D83),IFERROR(INDEX('Reference Table'!$A$2:$A$46,MATCH(VALUE('Raw Data'!E83),VALUE('Reference Table'!$B$2:$B$46),0)),"Unknown"))</f>
        <v>Meat_Mutton_1kg</v>
      </c>
      <c r="E83">
        <f>IF('Raw Data'!E83&lt;&gt;"",'Raw Data'!E83,IFERROR(INDEX('Reference Table'!$B$2:$B$32,MATCH(D83,'Reference Table'!$A$2:$A$32,0)),""))</f>
        <v>650</v>
      </c>
      <c r="F83">
        <f>IF('Raw Data'!F83&lt;&gt;"",'Raw Data'!F83,IFERROR(ROUND('Raw Data'!G83/E83,0),""))</f>
        <v>3</v>
      </c>
      <c r="G83">
        <f>IF('Raw Data'!G83&lt;&gt;"",'Raw Data'!G83,IFERROR(ROUND(E83*F83,2),""))</f>
        <v>1950</v>
      </c>
      <c r="H83" t="str">
        <f>'Raw Data'!H83</f>
        <v>Cash</v>
      </c>
      <c r="I83" t="str">
        <f>IF('Raw Data'!D83="",IF(D83="Unknown","Could not recover","Filled from Price lookup"),IF(TRIM('Raw Data'!D83)&lt;&gt;'Raw Data'!D83,"Trimmed whitespace","OK"))</f>
        <v>OK</v>
      </c>
      <c r="J83" t="str">
        <f t="shared" si="1"/>
        <v>OK</v>
      </c>
    </row>
    <row r="84" spans="1:10">
      <c r="A84" t="str">
        <f>'Raw Data'!A84</f>
        <v>TXN_1257</v>
      </c>
      <c r="B84" s="1">
        <f>'Raw Data'!B84</f>
        <v>45847</v>
      </c>
      <c r="C84" t="str">
        <f>IFERROR(INDEX('Reference Table'!$C$2:$C$46,MATCH(D84,'Reference Table'!$A$2:$A$46,0)),"Unknown")</f>
        <v>Beverages</v>
      </c>
      <c r="D84" t="str">
        <f t="array" ref="D84">IF(TRIM('Raw Data'!D84)&lt;&gt;"",TRIM('Raw Data'!D84),IFERROR(INDEX('Reference Table'!$A$2:$A$46,MATCH(VALUE('Raw Data'!E84),VALUE('Reference Table'!$B$2:$B$46),0)),"Unknown"))</f>
        <v>Bev_Coffee_200g</v>
      </c>
      <c r="E84">
        <f>IF('Raw Data'!E84&lt;&gt;"",'Raw Data'!E84,IFERROR(INDEX('Reference Table'!$B$2:$B$32,MATCH(D84,'Reference Table'!$A$2:$A$32,0)),""))</f>
        <v>180</v>
      </c>
      <c r="F84">
        <f>IF('Raw Data'!F84&lt;&gt;"",'Raw Data'!F84,IFERROR(ROUND('Raw Data'!G84/E84,0),""))</f>
        <v>2</v>
      </c>
      <c r="G84">
        <f>IF('Raw Data'!G84&lt;&gt;"",'Raw Data'!G84,IFERROR(ROUND(E84*F84,2),""))</f>
        <v>360</v>
      </c>
      <c r="H84" t="str">
        <f>'Raw Data'!H84</f>
        <v>Mobile Payment</v>
      </c>
      <c r="I84" t="str">
        <f>IF('Raw Data'!D84="",IF(D84="Unknown","Could not recover","Filled from Price lookup"),IF(TRIM('Raw Data'!D84)&lt;&gt;'Raw Data'!D84,"Trimmed whitespace","OK"))</f>
        <v>OK</v>
      </c>
      <c r="J84" t="str">
        <f t="shared" si="1"/>
        <v>OK</v>
      </c>
    </row>
    <row r="85" spans="1:10">
      <c r="A85" t="str">
        <f>'Raw Data'!A85</f>
        <v>TXN_1193</v>
      </c>
      <c r="B85" s="1">
        <f>'Raw Data'!B85</f>
        <v>45839</v>
      </c>
      <c r="C85" t="str">
        <f>IFERROR(INDEX('Reference Table'!$C$2:$C$46,MATCH(D85,'Reference Table'!$A$2:$A$46,0)),"Unknown")</f>
        <v>Furniture</v>
      </c>
      <c r="D85" t="str">
        <f t="array" ref="D85">IF(TRIM('Raw Data'!D85)&lt;&gt;"",TRIM('Raw Data'!D85),IFERROR(INDEX('Reference Table'!$A$2:$A$46,MATCH(VALUE('Raw Data'!E85),VALUE('Reference Table'!$B$2:$B$46),0)),"Unknown"))</f>
        <v>Furn_Shelf</v>
      </c>
      <c r="E85">
        <f>IF('Raw Data'!E85&lt;&gt;"",'Raw Data'!E85,IFERROR(INDEX('Reference Table'!$B$2:$B$32,MATCH(D85,'Reference Table'!$A$2:$A$32,0)),""))</f>
        <v>1800</v>
      </c>
      <c r="F85">
        <f>IF('Raw Data'!F85&lt;&gt;"",'Raw Data'!F85,IFERROR(ROUND('Raw Data'!G85/E85,0),""))</f>
        <v>2</v>
      </c>
      <c r="G85">
        <f>IF('Raw Data'!G85&lt;&gt;"",'Raw Data'!G85,IFERROR(ROUND(E85*F85,2),""))</f>
        <v>3600</v>
      </c>
      <c r="H85" t="str">
        <f>'Raw Data'!H85</f>
        <v>Credit Card</v>
      </c>
      <c r="I85" t="str">
        <f>IF('Raw Data'!D85="",IF(D85="Unknown","Could not recover","Filled from Price lookup"),IF(TRIM('Raw Data'!D85)&lt;&gt;'Raw Data'!D85,"Trimmed whitespace","OK"))</f>
        <v>OK</v>
      </c>
      <c r="J85" t="str">
        <f t="shared" si="1"/>
        <v>OK</v>
      </c>
    </row>
    <row r="86" spans="1:10">
      <c r="A86" t="str">
        <f>'Raw Data'!A86</f>
        <v>TXN_1173</v>
      </c>
      <c r="B86" s="1">
        <f>'Raw Data'!B86</f>
        <v>45833</v>
      </c>
      <c r="C86" t="str">
        <f>IFERROR(INDEX('Reference Table'!$C$2:$C$46,MATCH(D86,'Reference Table'!$A$2:$A$46,0)),"Unknown")</f>
        <v>Electric Accessories</v>
      </c>
      <c r="D86" t="str">
        <f t="array" ref="D86">IF(TRIM('Raw Data'!D86)&lt;&gt;"",TRIM('Raw Data'!D86),IFERROR(INDEX('Reference Table'!$A$2:$A$46,MATCH(VALUE('Raw Data'!E86),VALUE('Reference Table'!$B$2:$B$46),0)),"Unknown"))</f>
        <v>Elec_Powerbank</v>
      </c>
      <c r="E86">
        <f>IF('Raw Data'!E86&lt;&gt;"",'Raw Data'!E86,IFERROR(INDEX('Reference Table'!$B$2:$B$32,MATCH(D86,'Reference Table'!$A$2:$A$32,0)),""))</f>
        <v>900</v>
      </c>
      <c r="F86">
        <f>IF('Raw Data'!F86&lt;&gt;"",'Raw Data'!F86,IFERROR(ROUND('Raw Data'!G86/E86,0),""))</f>
        <v>1</v>
      </c>
      <c r="G86">
        <f>IF('Raw Data'!G86&lt;&gt;"",'Raw Data'!G86,IFERROR(ROUND(E86*F86,2),""))</f>
        <v>900</v>
      </c>
      <c r="H86" t="str">
        <f>'Raw Data'!H86</f>
        <v>Credit Card</v>
      </c>
      <c r="I86" t="str">
        <f>IF('Raw Data'!D86="",IF(D86="Unknown","Could not recover","Filled from Price lookup"),IF(TRIM('Raw Data'!D86)&lt;&gt;'Raw Data'!D86,"Trimmed whitespace","OK"))</f>
        <v>OK</v>
      </c>
      <c r="J86" t="str">
        <f t="shared" si="1"/>
        <v>OK</v>
      </c>
    </row>
    <row r="87" spans="1:10">
      <c r="A87" t="str">
        <f>'Raw Data'!A87</f>
        <v>TXN_1464</v>
      </c>
      <c r="B87" s="1">
        <f>'Raw Data'!B87</f>
        <v>45724</v>
      </c>
      <c r="C87" t="str">
        <f>IFERROR(INDEX('Reference Table'!$C$2:$C$46,MATCH(D87,'Reference Table'!$A$2:$A$46,0)),"Unknown")</f>
        <v>Patisserie</v>
      </c>
      <c r="D87" t="str">
        <f t="array" ref="D87">IF(TRIM('Raw Data'!D87)&lt;&gt;"",TRIM('Raw Data'!D87),IFERROR(INDEX('Reference Table'!$A$2:$A$46,MATCH(VALUE('Raw Data'!E87),VALUE('Reference Table'!$B$2:$B$46),0)),"Unknown"))</f>
        <v>Pat_Croissant</v>
      </c>
      <c r="E87">
        <f>IF('Raw Data'!E87&lt;&gt;"",'Raw Data'!E87,IFERROR(INDEX('Reference Table'!$B$2:$B$32,MATCH(D87,'Reference Table'!$A$2:$A$32,0)),""))</f>
        <v>40</v>
      </c>
      <c r="F87">
        <f>IF('Raw Data'!F87&lt;&gt;"",'Raw Data'!F87,IFERROR(ROUND('Raw Data'!G87/E87,0),""))</f>
        <v>1</v>
      </c>
      <c r="G87">
        <f>IF('Raw Data'!G87&lt;&gt;"",'Raw Data'!G87,IFERROR(ROUND(E87*F87,2),""))</f>
        <v>40</v>
      </c>
      <c r="H87" t="str">
        <f>'Raw Data'!H87</f>
        <v>Mobile Payment</v>
      </c>
      <c r="I87" t="str">
        <f>IF('Raw Data'!D87="",IF(D87="Unknown","Could not recover","Filled from Price lookup"),IF(TRIM('Raw Data'!D87)&lt;&gt;'Raw Data'!D87,"Trimmed whitespace","OK"))</f>
        <v>OK</v>
      </c>
      <c r="J87" t="str">
        <f t="shared" si="1"/>
        <v>OK</v>
      </c>
    </row>
    <row r="88" spans="1:10">
      <c r="A88" t="str">
        <f>'Raw Data'!A88</f>
        <v>TXN_1286</v>
      </c>
      <c r="B88" s="1">
        <f>'Raw Data'!B88</f>
        <v>45827</v>
      </c>
      <c r="C88" t="str">
        <f>IFERROR(INDEX('Reference Table'!$C$2:$C$46,MATCH(D88,'Reference Table'!$A$2:$A$46,0)),"Unknown")</f>
        <v>Patisserie</v>
      </c>
      <c r="D88" t="str">
        <f t="array" ref="D88">IF(TRIM('Raw Data'!D88)&lt;&gt;"",TRIM('Raw Data'!D88),IFERROR(INDEX('Reference Table'!$A$2:$A$46,MATCH(VALUE('Raw Data'!E88),VALUE('Reference Table'!$B$2:$B$46),0)),"Unknown"))</f>
        <v>Pat_Donut</v>
      </c>
      <c r="E88">
        <f>IF('Raw Data'!E88&lt;&gt;"",'Raw Data'!E88,IFERROR(INDEX('Reference Table'!$B$2:$B$32,MATCH(D88,'Reference Table'!$A$2:$A$32,0)),""))</f>
        <v>30</v>
      </c>
      <c r="F88">
        <f>IF('Raw Data'!F88&lt;&gt;"",'Raw Data'!F88,IFERROR(ROUND('Raw Data'!G88/E88,0),""))</f>
        <v>4</v>
      </c>
      <c r="G88">
        <f>IF('Raw Data'!G88&lt;&gt;"",'Raw Data'!G88,IFERROR(ROUND(E88*F88,2),""))</f>
        <v>120</v>
      </c>
      <c r="H88" t="str">
        <f>'Raw Data'!H88</f>
        <v>Mobile Payment</v>
      </c>
      <c r="I88" t="str">
        <f>IF('Raw Data'!D88="",IF(D88="Unknown","Could not recover","Filled from Price lookup"),IF(TRIM('Raw Data'!D88)&lt;&gt;'Raw Data'!D88,"Trimmed whitespace","OK"))</f>
        <v>OK</v>
      </c>
      <c r="J88" t="str">
        <f t="shared" si="1"/>
        <v>OK</v>
      </c>
    </row>
    <row r="89" spans="1:10">
      <c r="A89" t="str">
        <f>'Raw Data'!A89</f>
        <v>TXN_1489</v>
      </c>
      <c r="B89" s="1">
        <f>'Raw Data'!B89</f>
        <v>45853</v>
      </c>
      <c r="C89" t="str">
        <f>IFERROR(INDEX('Reference Table'!$C$2:$C$46,MATCH(D89,'Reference Table'!$A$2:$A$46,0)),"Unknown")</f>
        <v>Beverages</v>
      </c>
      <c r="D89" t="str">
        <f t="array" ref="D89">IF(TRIM('Raw Data'!D89)&lt;&gt;"",TRIM('Raw Data'!D89),IFERROR(INDEX('Reference Table'!$A$2:$A$46,MATCH(VALUE('Raw Data'!E89),VALUE('Reference Table'!$B$2:$B$46),0)),"Unknown"))</f>
        <v>Bev_Cola_1L</v>
      </c>
      <c r="E89">
        <f>IF('Raw Data'!E89&lt;&gt;"",'Raw Data'!E89,IFERROR(INDEX('Reference Table'!$B$2:$B$32,MATCH(D89,'Reference Table'!$A$2:$A$32,0)),""))</f>
        <v>60</v>
      </c>
      <c r="F89">
        <f>IF('Raw Data'!F89&lt;&gt;"",'Raw Data'!F89,IFERROR(ROUND('Raw Data'!G89/E89,0),""))</f>
        <v>6</v>
      </c>
      <c r="G89">
        <f>IF('Raw Data'!G89&lt;&gt;"",'Raw Data'!G89,IFERROR(ROUND(E89*F89,2),""))</f>
        <v>360</v>
      </c>
      <c r="H89" t="str">
        <f>'Raw Data'!H89</f>
        <v>Cash</v>
      </c>
      <c r="I89" t="str">
        <f>IF('Raw Data'!D89="",IF(D89="Unknown","Could not recover","Filled from Price lookup"),IF(TRIM('Raw Data'!D89)&lt;&gt;'Raw Data'!D89,"Trimmed whitespace","OK"))</f>
        <v>Filled from Price lookup</v>
      </c>
      <c r="J89" t="str">
        <f t="shared" si="1"/>
        <v>OK</v>
      </c>
    </row>
    <row r="90" spans="1:10">
      <c r="A90" t="str">
        <f>'Raw Data'!A90</f>
        <v>TXN_1178</v>
      </c>
      <c r="B90" s="1">
        <f>'Raw Data'!B90</f>
        <v>45735</v>
      </c>
      <c r="C90" t="str">
        <f>IFERROR(INDEX('Reference Table'!$C$2:$C$46,MATCH(D90,'Reference Table'!$A$2:$A$46,0)),"Unknown")</f>
        <v>Electric Accessories</v>
      </c>
      <c r="D90" t="str">
        <f t="array" ref="D90">IF(TRIM('Raw Data'!D90)&lt;&gt;"",TRIM('Raw Data'!D90),IFERROR(INDEX('Reference Table'!$A$2:$A$46,MATCH(VALUE('Raw Data'!E90),VALUE('Reference Table'!$B$2:$B$46),0)),"Unknown"))</f>
        <v>Elec_Powerbank</v>
      </c>
      <c r="E90">
        <f>IF('Raw Data'!E90&lt;&gt;"",'Raw Data'!E90,IFERROR(INDEX('Reference Table'!$B$2:$B$32,MATCH(D90,'Reference Table'!$A$2:$A$32,0)),""))</f>
        <v>900</v>
      </c>
      <c r="F90">
        <f>IF('Raw Data'!F90&lt;&gt;"",'Raw Data'!F90,IFERROR(ROUND('Raw Data'!G90/E90,0),""))</f>
        <v>6</v>
      </c>
      <c r="G90">
        <f>IF('Raw Data'!G90&lt;&gt;"",'Raw Data'!G90,IFERROR(ROUND(E90*F90,2),""))</f>
        <v>5400</v>
      </c>
      <c r="H90" t="str">
        <f>'Raw Data'!H90</f>
        <v>Mobile Payment</v>
      </c>
      <c r="I90" t="str">
        <f>IF('Raw Data'!D90="",IF(D90="Unknown","Could not recover","Filled from Price lookup"),IF(TRIM('Raw Data'!D90)&lt;&gt;'Raw Data'!D90,"Trimmed whitespace","OK"))</f>
        <v>OK</v>
      </c>
      <c r="J90" t="str">
        <f t="shared" si="1"/>
        <v>OK</v>
      </c>
    </row>
    <row r="91" spans="1:10">
      <c r="A91" t="str">
        <f>'Raw Data'!A91</f>
        <v>TXN_1317</v>
      </c>
      <c r="B91" s="1">
        <f>'Raw Data'!B91</f>
        <v>45831</v>
      </c>
      <c r="C91" t="str">
        <f>IFERROR(INDEX('Reference Table'!$C$2:$C$46,MATCH(D91,'Reference Table'!$A$2:$A$46,0)),"Unknown")</f>
        <v>Food</v>
      </c>
      <c r="D91" t="str">
        <f t="array" ref="D91">IF(TRIM('Raw Data'!D91)&lt;&gt;"",TRIM('Raw Data'!D91),IFERROR(INDEX('Reference Table'!$A$2:$A$46,MATCH(VALUE('Raw Data'!E91),VALUE('Reference Table'!$B$2:$B$46),0)),"Unknown"))</f>
        <v>Food_Wheat_1kg</v>
      </c>
      <c r="E91">
        <f>IF('Raw Data'!E91&lt;&gt;"",'Raw Data'!E91,IFERROR(INDEX('Reference Table'!$B$2:$B$32,MATCH(D91,'Reference Table'!$A$2:$A$32,0)),""))</f>
        <v>55</v>
      </c>
      <c r="F91">
        <f>IF('Raw Data'!F91&lt;&gt;"",'Raw Data'!F91,IFERROR(ROUND('Raw Data'!G91/E91,0),""))</f>
        <v>5</v>
      </c>
      <c r="G91">
        <f>IF('Raw Data'!G91&lt;&gt;"",'Raw Data'!G91,IFERROR(ROUND(E91*F91,2),""))</f>
        <v>275</v>
      </c>
      <c r="H91" t="str">
        <f>'Raw Data'!H91</f>
        <v>Mobile Payment</v>
      </c>
      <c r="I91" t="str">
        <f>IF('Raw Data'!D91="",IF(D91="Unknown","Could not recover","Filled from Price lookup"),IF(TRIM('Raw Data'!D91)&lt;&gt;'Raw Data'!D91,"Trimmed whitespace","OK"))</f>
        <v>OK</v>
      </c>
      <c r="J91" t="str">
        <f t="shared" si="1"/>
        <v>OK</v>
      </c>
    </row>
    <row r="92" spans="1:10">
      <c r="A92" t="str">
        <f>'Raw Data'!A92</f>
        <v>TXN_1593</v>
      </c>
      <c r="B92" s="1">
        <f>'Raw Data'!B92</f>
        <v>45687</v>
      </c>
      <c r="C92" t="str">
        <f>IFERROR(INDEX('Reference Table'!$C$2:$C$46,MATCH(D92,'Reference Table'!$A$2:$A$46,0)),"Unknown")</f>
        <v>Milk Products</v>
      </c>
      <c r="D92" t="str">
        <f t="array" ref="D92">IF(TRIM('Raw Data'!D92)&lt;&gt;"",TRIM('Raw Data'!D92),IFERROR(INDEX('Reference Table'!$A$2:$A$46,MATCH(VALUE('Raw Data'!E92),VALUE('Reference Table'!$B$2:$B$46),0)),"Unknown"))</f>
        <v>Milk_Yogurt_400g</v>
      </c>
      <c r="E92">
        <f>IF('Raw Data'!E92&lt;&gt;"",'Raw Data'!E92,IFERROR(INDEX('Reference Table'!$B$2:$B$32,MATCH(D92,'Reference Table'!$A$2:$A$32,0)),""))</f>
        <v>60</v>
      </c>
      <c r="F92">
        <f>IF('Raw Data'!F92&lt;&gt;"",'Raw Data'!F92,IFERROR(ROUND('Raw Data'!G92/E92,0),""))</f>
        <v>4</v>
      </c>
      <c r="G92">
        <f>IF('Raw Data'!G92&lt;&gt;"",'Raw Data'!G92,IFERROR(ROUND(E92*F92,2),""))</f>
        <v>240</v>
      </c>
      <c r="H92" t="str">
        <f>'Raw Data'!H92</f>
        <v>Debit Card</v>
      </c>
      <c r="I92" t="str">
        <f>IF('Raw Data'!D92="",IF(D92="Unknown","Could not recover","Filled from Price lookup"),IF(TRIM('Raw Data'!D92)&lt;&gt;'Raw Data'!D92,"Trimmed whitespace","OK"))</f>
        <v>OK</v>
      </c>
      <c r="J92" t="str">
        <f t="shared" si="1"/>
        <v>OK</v>
      </c>
    </row>
    <row r="93" spans="1:10">
      <c r="A93" t="str">
        <f>'Raw Data'!A93</f>
        <v>TXN_1137</v>
      </c>
      <c r="B93" s="1">
        <f>'Raw Data'!B93</f>
        <v>45811</v>
      </c>
      <c r="C93" t="str">
        <f>IFERROR(INDEX('Reference Table'!$C$2:$C$46,MATCH(D93,'Reference Table'!$A$2:$A$46,0)),"Unknown")</f>
        <v>Patisserie</v>
      </c>
      <c r="D93" t="str">
        <f t="array" ref="D93">IF(TRIM('Raw Data'!D93)&lt;&gt;"",TRIM('Raw Data'!D93),IFERROR(INDEX('Reference Table'!$A$2:$A$46,MATCH(VALUE('Raw Data'!E93),VALUE('Reference Table'!$B$2:$B$46),0)),"Unknown"))</f>
        <v>Pat_Cookie_Pack</v>
      </c>
      <c r="E93">
        <f>IF('Raw Data'!E93&lt;&gt;"",'Raw Data'!E93,IFERROR(INDEX('Reference Table'!$B$2:$B$32,MATCH(D93,'Reference Table'!$A$2:$A$32,0)),""))</f>
        <v>55</v>
      </c>
      <c r="F93">
        <f>IF('Raw Data'!F93&lt;&gt;"",'Raw Data'!F93,IFERROR(ROUND('Raw Data'!G93/E93,0),""))</f>
        <v>6</v>
      </c>
      <c r="G93">
        <f>IF('Raw Data'!G93&lt;&gt;"",'Raw Data'!G93,IFERROR(ROUND(E93*F93,2),""))</f>
        <v>330</v>
      </c>
      <c r="H93" t="str">
        <f>'Raw Data'!H93</f>
        <v>Cash</v>
      </c>
      <c r="I93" t="str">
        <f>IF('Raw Data'!D93="",IF(D93="Unknown","Could not recover","Filled from Price lookup"),IF(TRIM('Raw Data'!D93)&lt;&gt;'Raw Data'!D93,"Trimmed whitespace","OK"))</f>
        <v>OK</v>
      </c>
      <c r="J93" t="str">
        <f t="shared" si="1"/>
        <v>OK</v>
      </c>
    </row>
    <row r="94" spans="1:10">
      <c r="A94" t="str">
        <f>'Raw Data'!A94</f>
        <v>TXN_1018</v>
      </c>
      <c r="B94" s="1">
        <f>'Raw Data'!B94</f>
        <v>45674</v>
      </c>
      <c r="C94" t="str">
        <f>IFERROR(INDEX('Reference Table'!$C$2:$C$46,MATCH(D94,'Reference Table'!$A$2:$A$46,0)),"Unknown")</f>
        <v>Electric Accessories</v>
      </c>
      <c r="D94" t="str">
        <f t="array" ref="D94">IF(TRIM('Raw Data'!D94)&lt;&gt;"",TRIM('Raw Data'!D94),IFERROR(INDEX('Reference Table'!$A$2:$A$46,MATCH(VALUE('Raw Data'!E94),VALUE('Reference Table'!$B$2:$B$46),0)),"Unknown"))</f>
        <v>Elec_Cable_USB</v>
      </c>
      <c r="E94">
        <f>IF('Raw Data'!E94&lt;&gt;"",'Raw Data'!E94,IFERROR(INDEX('Reference Table'!$B$2:$B$32,MATCH(D94,'Reference Table'!$A$2:$A$32,0)),""))</f>
        <v>150</v>
      </c>
      <c r="F94">
        <f>IF('Raw Data'!F94&lt;&gt;"",'Raw Data'!F94,IFERROR(ROUND('Raw Data'!G94/E94,0),""))</f>
        <v>3</v>
      </c>
      <c r="G94">
        <f>IF('Raw Data'!G94&lt;&gt;"",'Raw Data'!G94,IFERROR(ROUND(E94*F94,2),""))</f>
        <v>450</v>
      </c>
      <c r="H94" t="str">
        <f>'Raw Data'!H94</f>
        <v>Credit Card</v>
      </c>
      <c r="I94" t="str">
        <f>IF('Raw Data'!D94="",IF(D94="Unknown","Could not recover","Filled from Price lookup"),IF(TRIM('Raw Data'!D94)&lt;&gt;'Raw Data'!D94,"Trimmed whitespace","OK"))</f>
        <v>OK</v>
      </c>
      <c r="J94" t="str">
        <f t="shared" si="1"/>
        <v>OK</v>
      </c>
    </row>
    <row r="95" spans="1:10">
      <c r="A95" t="str">
        <f>'Raw Data'!A95</f>
        <v>TXN_1041</v>
      </c>
      <c r="B95" s="1">
        <f>'Raw Data'!B95</f>
        <v>45808</v>
      </c>
      <c r="C95" t="str">
        <f>IFERROR(INDEX('Reference Table'!$C$2:$C$46,MATCH(D95,'Reference Table'!$A$2:$A$46,0)),"Unknown")</f>
        <v>Butchers</v>
      </c>
      <c r="D95" t="str">
        <f t="array" ref="D95">IF(TRIM('Raw Data'!D95)&lt;&gt;"",TRIM('Raw Data'!D95),IFERROR(INDEX('Reference Table'!$A$2:$A$46,MATCH(VALUE('Raw Data'!E95),VALUE('Reference Table'!$B$2:$B$46),0)),"Unknown"))</f>
        <v>Meat_Mutton_1kg</v>
      </c>
      <c r="E95">
        <f>IF('Raw Data'!E95&lt;&gt;"",'Raw Data'!E95,IFERROR(INDEX('Reference Table'!$B$2:$B$32,MATCH(D95,'Reference Table'!$A$2:$A$32,0)),""))</f>
        <v>650</v>
      </c>
      <c r="F95">
        <f>IF('Raw Data'!F95&lt;&gt;"",'Raw Data'!F95,IFERROR(ROUND('Raw Data'!G95/E95,0),""))</f>
        <v>1</v>
      </c>
      <c r="G95">
        <f>IF('Raw Data'!G95&lt;&gt;"",'Raw Data'!G95,IFERROR(ROUND(E95*F95,2),""))</f>
        <v>650</v>
      </c>
      <c r="H95" t="str">
        <f>'Raw Data'!H95</f>
        <v>Credit Card</v>
      </c>
      <c r="I95" t="str">
        <f>IF('Raw Data'!D95="",IF(D95="Unknown","Could not recover","Filled from Price lookup"),IF(TRIM('Raw Data'!D95)&lt;&gt;'Raw Data'!D95,"Trimmed whitespace","OK"))</f>
        <v>OK</v>
      </c>
      <c r="J95" t="str">
        <f t="shared" si="1"/>
        <v>OK</v>
      </c>
    </row>
    <row r="96" spans="1:10">
      <c r="A96" t="str">
        <f>'Raw Data'!A96</f>
        <v>TXN_1345</v>
      </c>
      <c r="B96" s="1">
        <f>'Raw Data'!B96</f>
        <v>45735</v>
      </c>
      <c r="C96" t="str">
        <f>IFERROR(INDEX('Reference Table'!$C$2:$C$46,MATCH(D96,'Reference Table'!$A$2:$A$46,0)),"Unknown")</f>
        <v>Patisserie</v>
      </c>
      <c r="D96" t="str">
        <f t="array" ref="D96">IF(TRIM('Raw Data'!D96)&lt;&gt;"",TRIM('Raw Data'!D96),IFERROR(INDEX('Reference Table'!$A$2:$A$46,MATCH(VALUE('Raw Data'!E96),VALUE('Reference Table'!$B$2:$B$46),0)),"Unknown"))</f>
        <v>Pat_Cake_Slice</v>
      </c>
      <c r="E96">
        <f>IF('Raw Data'!E96&lt;&gt;"",'Raw Data'!E96,IFERROR(INDEX('Reference Table'!$B$2:$B$32,MATCH(D96,'Reference Table'!$A$2:$A$32,0)),""))</f>
        <v>90</v>
      </c>
      <c r="F96">
        <f>IF('Raw Data'!F96&lt;&gt;"",'Raw Data'!F96,IFERROR(ROUND('Raw Data'!G96/E96,0),""))</f>
        <v>2</v>
      </c>
      <c r="G96">
        <f>IF('Raw Data'!G96&lt;&gt;"",'Raw Data'!G96,IFERROR(ROUND(E96*F96,2),""))</f>
        <v>180</v>
      </c>
      <c r="H96" t="str">
        <f>'Raw Data'!H96</f>
        <v>Cash</v>
      </c>
      <c r="I96" t="str">
        <f>IF('Raw Data'!D96="",IF(D96="Unknown","Could not recover","Filled from Price lookup"),IF(TRIM('Raw Data'!D96)&lt;&gt;'Raw Data'!D96,"Trimmed whitespace","OK"))</f>
        <v>Filled from Price lookup</v>
      </c>
      <c r="J96" t="str">
        <f t="shared" si="1"/>
        <v>OK</v>
      </c>
    </row>
    <row r="97" spans="1:10">
      <c r="A97" t="str">
        <f>'Raw Data'!A97</f>
        <v>TXN_1277</v>
      </c>
      <c r="B97" s="1">
        <f>'Raw Data'!B97</f>
        <v>45687</v>
      </c>
      <c r="C97" t="str">
        <f>IFERROR(INDEX('Reference Table'!$C$2:$C$46,MATCH(D97,'Reference Table'!$A$2:$A$46,0)),"Unknown")</f>
        <v>Furniture</v>
      </c>
      <c r="D97" t="str">
        <f t="array" ref="D97">IF(TRIM('Raw Data'!D97)&lt;&gt;"",TRIM('Raw Data'!D97),IFERROR(INDEX('Reference Table'!$A$2:$A$46,MATCH(VALUE('Raw Data'!E97),VALUE('Reference Table'!$B$2:$B$46),0)),"Unknown"))</f>
        <v>Furn_Chair</v>
      </c>
      <c r="E97">
        <f>IF('Raw Data'!E97&lt;&gt;"",'Raw Data'!E97,IFERROR(INDEX('Reference Table'!$B$2:$B$32,MATCH(D97,'Reference Table'!$A$2:$A$32,0)),""))</f>
        <v>2500</v>
      </c>
      <c r="F97">
        <f>IF('Raw Data'!F97&lt;&gt;"",'Raw Data'!F97,IFERROR(ROUND('Raw Data'!G97/E97,0),""))</f>
        <v>3</v>
      </c>
      <c r="G97">
        <f>IF('Raw Data'!G97&lt;&gt;"",'Raw Data'!G97,IFERROR(ROUND(E97*F97,2),""))</f>
        <v>7500</v>
      </c>
      <c r="H97" t="str">
        <f>'Raw Data'!H97</f>
        <v>Debit Card</v>
      </c>
      <c r="I97" t="str">
        <f>IF('Raw Data'!D97="",IF(D97="Unknown","Could not recover","Filled from Price lookup"),IF(TRIM('Raw Data'!D97)&lt;&gt;'Raw Data'!D97,"Trimmed whitespace","OK"))</f>
        <v>OK</v>
      </c>
      <c r="J97" t="str">
        <f t="shared" si="1"/>
        <v>OK</v>
      </c>
    </row>
    <row r="98" spans="1:10">
      <c r="A98" t="str">
        <f>'Raw Data'!A98</f>
        <v>TXN_1558</v>
      </c>
      <c r="B98" s="1">
        <f>'Raw Data'!B98</f>
        <v>45784</v>
      </c>
      <c r="C98" t="str">
        <f>IFERROR(INDEX('Reference Table'!$C$2:$C$46,MATCH(D98,'Reference Table'!$A$2:$A$46,0)),"Unknown")</f>
        <v>Food</v>
      </c>
      <c r="D98" t="str">
        <f t="array" ref="D98">IF(TRIM('Raw Data'!D98)&lt;&gt;"",TRIM('Raw Data'!D98),IFERROR(INDEX('Reference Table'!$A$2:$A$46,MATCH(VALUE('Raw Data'!E98),VALUE('Reference Table'!$B$2:$B$46),0)),"Unknown"))</f>
        <v>Food_Wheat_1kg</v>
      </c>
      <c r="E98">
        <f>IF('Raw Data'!E98&lt;&gt;"",'Raw Data'!E98,IFERROR(INDEX('Reference Table'!$B$2:$B$32,MATCH(D98,'Reference Table'!$A$2:$A$32,0)),""))</f>
        <v>55</v>
      </c>
      <c r="F98">
        <f>IF('Raw Data'!F98&lt;&gt;"",'Raw Data'!F98,IFERROR(ROUND('Raw Data'!G98/E98,0),""))</f>
        <v>3</v>
      </c>
      <c r="G98">
        <f>IF('Raw Data'!G98&lt;&gt;"",'Raw Data'!G98,IFERROR(ROUND(E98*F98,2),""))</f>
        <v>165</v>
      </c>
      <c r="H98" t="str">
        <f>'Raw Data'!H98</f>
        <v>Credit Card</v>
      </c>
      <c r="I98" t="str">
        <f>IF('Raw Data'!D98="",IF(D98="Unknown","Could not recover","Filled from Price lookup"),IF(TRIM('Raw Data'!D98)&lt;&gt;'Raw Data'!D98,"Trimmed whitespace","OK"))</f>
        <v>Filled from Price lookup</v>
      </c>
      <c r="J98" t="str">
        <f t="shared" si="1"/>
        <v>OK</v>
      </c>
    </row>
    <row r="99" spans="1:10">
      <c r="A99" t="str">
        <f>'Raw Data'!A99</f>
        <v>TXN_1589</v>
      </c>
      <c r="B99" s="1">
        <f>'Raw Data'!B99</f>
        <v>45705</v>
      </c>
      <c r="C99" t="str">
        <f>IFERROR(INDEX('Reference Table'!$C$2:$C$46,MATCH(D99,'Reference Table'!$A$2:$A$46,0)),"Unknown")</f>
        <v>Electric Accessories</v>
      </c>
      <c r="D99" t="str">
        <f t="array" ref="D99">IF(TRIM('Raw Data'!D99)&lt;&gt;"",TRIM('Raw Data'!D99),IFERROR(INDEX('Reference Table'!$A$2:$A$46,MATCH(VALUE('Raw Data'!E99),VALUE('Reference Table'!$B$2:$B$46),0)),"Unknown"))</f>
        <v>Elec_Cable_USB</v>
      </c>
      <c r="E99">
        <f>IF('Raw Data'!E99&lt;&gt;"",'Raw Data'!E99,IFERROR(INDEX('Reference Table'!$B$2:$B$32,MATCH(D99,'Reference Table'!$A$2:$A$32,0)),""))</f>
        <v>150</v>
      </c>
      <c r="F99">
        <f>IF('Raw Data'!F99&lt;&gt;"",'Raw Data'!F99,IFERROR(ROUND('Raw Data'!G99/E99,0),""))</f>
        <v>6</v>
      </c>
      <c r="G99">
        <f>IF('Raw Data'!G99&lt;&gt;"",'Raw Data'!G99,IFERROR(ROUND(E99*F99,2),""))</f>
        <v>900</v>
      </c>
      <c r="H99" t="str">
        <f>'Raw Data'!H99</f>
        <v>Credit Card</v>
      </c>
      <c r="I99" t="str">
        <f>IF('Raw Data'!D99="",IF(D99="Unknown","Could not recover","Filled from Price lookup"),IF(TRIM('Raw Data'!D99)&lt;&gt;'Raw Data'!D99,"Trimmed whitespace","OK"))</f>
        <v>OK</v>
      </c>
      <c r="J99" t="str">
        <f t="shared" si="1"/>
        <v>OK</v>
      </c>
    </row>
    <row r="100" spans="1:10">
      <c r="A100" t="str">
        <f>'Raw Data'!A100</f>
        <v>TXN_1090</v>
      </c>
      <c r="B100" s="1">
        <f>'Raw Data'!B100</f>
        <v>45756</v>
      </c>
      <c r="C100" t="str">
        <f>IFERROR(INDEX('Reference Table'!$C$2:$C$46,MATCH(D100,'Reference Table'!$A$2:$A$46,0)),"Unknown")</f>
        <v>Computers</v>
      </c>
      <c r="D100" t="str">
        <f t="array" ref="D100">IF(TRIM('Raw Data'!D100)&lt;&gt;"",TRIM('Raw Data'!D100),IFERROR(INDEX('Reference Table'!$A$2:$A$46,MATCH(VALUE('Raw Data'!E100),VALUE('Reference Table'!$B$2:$B$46),0)),"Unknown"))</f>
        <v>Comp_USB_Drive_32GB</v>
      </c>
      <c r="E100">
        <f>IF('Raw Data'!E100&lt;&gt;"",'Raw Data'!E100,IFERROR(INDEX('Reference Table'!$B$2:$B$32,MATCH(D100,'Reference Table'!$A$2:$A$32,0)),""))</f>
        <v>450</v>
      </c>
      <c r="F100">
        <f>IF('Raw Data'!F100&lt;&gt;"",'Raw Data'!F100,IFERROR(ROUND('Raw Data'!G100/E100,0),""))</f>
        <v>1</v>
      </c>
      <c r="G100">
        <f>IF('Raw Data'!G100&lt;&gt;"",'Raw Data'!G100,IFERROR(ROUND(E100*F100,2),""))</f>
        <v>450</v>
      </c>
      <c r="H100" t="str">
        <f>'Raw Data'!H100</f>
        <v>Credit Card</v>
      </c>
      <c r="I100" t="str">
        <f>IF('Raw Data'!D100="",IF(D100="Unknown","Could not recover","Filled from Price lookup"),IF(TRIM('Raw Data'!D100)&lt;&gt;'Raw Data'!D100,"Trimmed whitespace","OK"))</f>
        <v>OK</v>
      </c>
      <c r="J100" t="str">
        <f t="shared" si="1"/>
        <v>OK</v>
      </c>
    </row>
    <row r="101" spans="1:10">
      <c r="A101" t="str">
        <f>'Raw Data'!A101</f>
        <v>TXN_1502</v>
      </c>
      <c r="B101" s="1">
        <f>'Raw Data'!B101</f>
        <v>45763</v>
      </c>
      <c r="C101" t="str">
        <f>IFERROR(INDEX('Reference Table'!$C$2:$C$46,MATCH(D101,'Reference Table'!$A$2:$A$46,0)),"Unknown")</f>
        <v>Beverages</v>
      </c>
      <c r="D101" t="str">
        <f t="array" ref="D101">IF(TRIM('Raw Data'!D101)&lt;&gt;"",TRIM('Raw Data'!D101),IFERROR(INDEX('Reference Table'!$A$2:$A$46,MATCH(VALUE('Raw Data'!E101),VALUE('Reference Table'!$B$2:$B$46),0)),"Unknown"))</f>
        <v>Bev_Coffee_200g</v>
      </c>
      <c r="E101">
        <f>IF('Raw Data'!E101&lt;&gt;"",'Raw Data'!E101,IFERROR(INDEX('Reference Table'!$B$2:$B$32,MATCH(D101,'Reference Table'!$A$2:$A$32,0)),""))</f>
        <v>180</v>
      </c>
      <c r="F101">
        <f>IF('Raw Data'!F101&lt;&gt;"",'Raw Data'!F101,IFERROR(ROUND('Raw Data'!G101/E101,0),""))</f>
        <v>5</v>
      </c>
      <c r="G101">
        <f>IF('Raw Data'!G101&lt;&gt;"",'Raw Data'!G101,IFERROR(ROUND(E101*F101,2),""))</f>
        <v>900</v>
      </c>
      <c r="H101" t="str">
        <f>'Raw Data'!H101</f>
        <v>Mobile Payment</v>
      </c>
      <c r="I101" t="str">
        <f>IF('Raw Data'!D101="",IF(D101="Unknown","Could not recover","Filled from Price lookup"),IF(TRIM('Raw Data'!D101)&lt;&gt;'Raw Data'!D101,"Trimmed whitespace","OK"))</f>
        <v>OK</v>
      </c>
      <c r="J101" t="str">
        <f t="shared" si="1"/>
        <v>OK</v>
      </c>
    </row>
    <row r="102" spans="1:10">
      <c r="A102" t="str">
        <f>'Raw Data'!A102</f>
        <v>TXN_1087</v>
      </c>
      <c r="B102" s="1">
        <f>'Raw Data'!B102</f>
        <v>45831</v>
      </c>
      <c r="C102" t="str">
        <f>IFERROR(INDEX('Reference Table'!$C$2:$C$46,MATCH(D102,'Reference Table'!$A$2:$A$46,0)),"Unknown")</f>
        <v>Computers</v>
      </c>
      <c r="D102" t="str">
        <f t="array" ref="D102">IF(TRIM('Raw Data'!D102)&lt;&gt;"",TRIM('Raw Data'!D102),IFERROR(INDEX('Reference Table'!$A$2:$A$46,MATCH(VALUE('Raw Data'!E102),VALUE('Reference Table'!$B$2:$B$46),0)),"Unknown"))</f>
        <v>Comp_USB_Drive_32GB</v>
      </c>
      <c r="E102">
        <f>IF('Raw Data'!E102&lt;&gt;"",'Raw Data'!E102,IFERROR(INDEX('Reference Table'!$B$2:$B$32,MATCH(D102,'Reference Table'!$A$2:$A$32,0)),""))</f>
        <v>450</v>
      </c>
      <c r="F102">
        <f>IF('Raw Data'!F102&lt;&gt;"",'Raw Data'!F102,IFERROR(ROUND('Raw Data'!G102/E102,0),""))</f>
        <v>4</v>
      </c>
      <c r="G102">
        <f>IF('Raw Data'!G102&lt;&gt;"",'Raw Data'!G102,IFERROR(ROUND(E102*F102,2),""))</f>
        <v>1800</v>
      </c>
      <c r="H102" t="str">
        <f>'Raw Data'!H102</f>
        <v>Debit Card</v>
      </c>
      <c r="I102" t="str">
        <f>IF('Raw Data'!D102="",IF(D102="Unknown","Could not recover","Filled from Price lookup"),IF(TRIM('Raw Data'!D102)&lt;&gt;'Raw Data'!D102,"Trimmed whitespace","OK"))</f>
        <v>OK</v>
      </c>
      <c r="J102" t="str">
        <f t="shared" si="1"/>
        <v>OK</v>
      </c>
    </row>
    <row r="103" spans="1:10">
      <c r="A103" t="str">
        <f>'Raw Data'!A103</f>
        <v>TXN_1316</v>
      </c>
      <c r="B103" s="1">
        <f>'Raw Data'!B103</f>
        <v>45823</v>
      </c>
      <c r="C103" t="str">
        <f>IFERROR(INDEX('Reference Table'!$C$2:$C$46,MATCH(D103,'Reference Table'!$A$2:$A$46,0)),"Unknown")</f>
        <v>Beverages</v>
      </c>
      <c r="D103" t="str">
        <f t="array" ref="D103">IF(TRIM('Raw Data'!D103)&lt;&gt;"",TRIM('Raw Data'!D103),IFERROR(INDEX('Reference Table'!$A$2:$A$46,MATCH(VALUE('Raw Data'!E103),VALUE('Reference Table'!$B$2:$B$46),0)),"Unknown"))</f>
        <v>Bev_Coffee_200g</v>
      </c>
      <c r="E103">
        <f>IF('Raw Data'!E103&lt;&gt;"",'Raw Data'!E103,IFERROR(INDEX('Reference Table'!$B$2:$B$32,MATCH(D103,'Reference Table'!$A$2:$A$32,0)),""))</f>
        <v>180</v>
      </c>
      <c r="F103">
        <f>IF('Raw Data'!F103&lt;&gt;"",'Raw Data'!F103,IFERROR(ROUND('Raw Data'!G103/E103,0),""))</f>
        <v>6</v>
      </c>
      <c r="G103">
        <f>IF('Raw Data'!G103&lt;&gt;"",'Raw Data'!G103,IFERROR(ROUND(E103*F103,2),""))</f>
        <v>1080</v>
      </c>
      <c r="H103" t="str">
        <f>'Raw Data'!H103</f>
        <v>Debit Card</v>
      </c>
      <c r="I103" t="str">
        <f>IF('Raw Data'!D103="",IF(D103="Unknown","Could not recover","Filled from Price lookup"),IF(TRIM('Raw Data'!D103)&lt;&gt;'Raw Data'!D103,"Trimmed whitespace","OK"))</f>
        <v>Filled from Price lookup</v>
      </c>
      <c r="J103" t="str">
        <f t="shared" si="1"/>
        <v>OK</v>
      </c>
    </row>
    <row r="104" spans="1:10">
      <c r="A104" t="str">
        <f>'Raw Data'!A104</f>
        <v>TXN_1152</v>
      </c>
      <c r="B104" s="1">
        <f>'Raw Data'!B104</f>
        <v>45779</v>
      </c>
      <c r="C104" t="str">
        <f>IFERROR(INDEX('Reference Table'!$C$2:$C$46,MATCH(D104,'Reference Table'!$A$2:$A$46,0)),"Unknown")</f>
        <v>Furniture</v>
      </c>
      <c r="D104" t="str">
        <f t="array" ref="D104">IF(TRIM('Raw Data'!D104)&lt;&gt;"",TRIM('Raw Data'!D104),IFERROR(INDEX('Reference Table'!$A$2:$A$46,MATCH(VALUE('Raw Data'!E104),VALUE('Reference Table'!$B$2:$B$46),0)),"Unknown"))</f>
        <v>Furn_Lamp</v>
      </c>
      <c r="E104">
        <f>IF('Raw Data'!E104&lt;&gt;"",'Raw Data'!E104,IFERROR(INDEX('Reference Table'!$B$2:$B$32,MATCH(D104,'Reference Table'!$A$2:$A$32,0)),""))</f>
        <v>700</v>
      </c>
      <c r="F104">
        <f>IF('Raw Data'!F104&lt;&gt;"",'Raw Data'!F104,IFERROR(ROUND('Raw Data'!G104/E104,0),""))</f>
        <v>3</v>
      </c>
      <c r="G104">
        <f>IF('Raw Data'!G104&lt;&gt;"",'Raw Data'!G104,IFERROR(ROUND(E104*F104,2),""))</f>
        <v>2100</v>
      </c>
      <c r="H104" t="str">
        <f>'Raw Data'!H104</f>
        <v>Debit Card</v>
      </c>
      <c r="I104" t="str">
        <f>IF('Raw Data'!D104="",IF(D104="Unknown","Could not recover","Filled from Price lookup"),IF(TRIM('Raw Data'!D104)&lt;&gt;'Raw Data'!D104,"Trimmed whitespace","OK"))</f>
        <v>Trimmed whitespace</v>
      </c>
      <c r="J104" t="str">
        <f t="shared" si="1"/>
        <v>OK</v>
      </c>
    </row>
    <row r="105" spans="1:10">
      <c r="A105" t="str">
        <f>'Raw Data'!A105</f>
        <v>TXN_1112</v>
      </c>
      <c r="B105" s="1">
        <f>'Raw Data'!B105</f>
        <v>45782</v>
      </c>
      <c r="C105" t="str">
        <f>IFERROR(INDEX('Reference Table'!$C$2:$C$46,MATCH(D105,'Reference Table'!$A$2:$A$46,0)),"Unknown")</f>
        <v>Patisserie</v>
      </c>
      <c r="D105" t="str">
        <f t="array" ref="D105">IF(TRIM('Raw Data'!D105)&lt;&gt;"",TRIM('Raw Data'!D105),IFERROR(INDEX('Reference Table'!$A$2:$A$46,MATCH(VALUE('Raw Data'!E105),VALUE('Reference Table'!$B$2:$B$46),0)),"Unknown"))</f>
        <v>Pat_Donut</v>
      </c>
      <c r="E105">
        <f>IF('Raw Data'!E105&lt;&gt;"",'Raw Data'!E105,IFERROR(INDEX('Reference Table'!$B$2:$B$32,MATCH(D105,'Reference Table'!$A$2:$A$32,0)),""))</f>
        <v>30</v>
      </c>
      <c r="F105">
        <f>IF('Raw Data'!F105&lt;&gt;"",'Raw Data'!F105,IFERROR(ROUND('Raw Data'!G105/E105,0),""))</f>
        <v>5</v>
      </c>
      <c r="G105">
        <f>IF('Raw Data'!G105&lt;&gt;"",'Raw Data'!G105,IFERROR(ROUND(E105*F105,2),""))</f>
        <v>150</v>
      </c>
      <c r="H105" t="str">
        <f>'Raw Data'!H105</f>
        <v>Credit Card</v>
      </c>
      <c r="I105" t="str">
        <f>IF('Raw Data'!D105="",IF(D105="Unknown","Could not recover","Filled from Price lookup"),IF(TRIM('Raw Data'!D105)&lt;&gt;'Raw Data'!D105,"Trimmed whitespace","OK"))</f>
        <v>OK</v>
      </c>
      <c r="J105" t="str">
        <f t="shared" si="1"/>
        <v>OK</v>
      </c>
    </row>
    <row r="106" spans="1:10">
      <c r="A106" t="str">
        <f>'Raw Data'!A106</f>
        <v>TXN_1170</v>
      </c>
      <c r="B106" s="1">
        <f>'Raw Data'!B106</f>
        <v>45702</v>
      </c>
      <c r="C106" t="str">
        <f>IFERROR(INDEX('Reference Table'!$C$2:$C$46,MATCH(D106,'Reference Table'!$A$2:$A$46,0)),"Unknown")</f>
        <v>Milk Products</v>
      </c>
      <c r="D106" t="str">
        <f t="array" ref="D106">IF(TRIM('Raw Data'!D106)&lt;&gt;"",TRIM('Raw Data'!D106),IFERROR(INDEX('Reference Table'!$A$2:$A$46,MATCH(VALUE('Raw Data'!E106),VALUE('Reference Table'!$B$2:$B$46),0)),"Unknown"))</f>
        <v>Milk_Cheese_200g</v>
      </c>
      <c r="E106">
        <f>IF('Raw Data'!E106&lt;&gt;"",'Raw Data'!E106,IFERROR(INDEX('Reference Table'!$B$2:$B$32,MATCH(D106,'Reference Table'!$A$2:$A$32,0)),""))</f>
        <v>110</v>
      </c>
      <c r="F106">
        <f>IF('Raw Data'!F106&lt;&gt;"",'Raw Data'!F106,IFERROR(ROUND('Raw Data'!G106/E106,0),""))</f>
        <v>2</v>
      </c>
      <c r="G106">
        <f>IF('Raw Data'!G106&lt;&gt;"",'Raw Data'!G106,IFERROR(ROUND(E106*F106,2),""))</f>
        <v>220</v>
      </c>
      <c r="H106" t="str">
        <f>'Raw Data'!H106</f>
        <v>Cash</v>
      </c>
      <c r="I106" t="str">
        <f>IF('Raw Data'!D106="",IF(D106="Unknown","Could not recover","Filled from Price lookup"),IF(TRIM('Raw Data'!D106)&lt;&gt;'Raw Data'!D106,"Trimmed whitespace","OK"))</f>
        <v>OK</v>
      </c>
      <c r="J106" t="str">
        <f t="shared" si="1"/>
        <v>OK</v>
      </c>
    </row>
    <row r="107" spans="1:10">
      <c r="A107" t="str">
        <f>'Raw Data'!A107</f>
        <v>TXN_1238</v>
      </c>
      <c r="B107" s="1">
        <f>'Raw Data'!B107</f>
        <v>45664</v>
      </c>
      <c r="C107" t="str">
        <f>IFERROR(INDEX('Reference Table'!$C$2:$C$46,MATCH(D107,'Reference Table'!$A$2:$A$46,0)),"Unknown")</f>
        <v>Milk Products</v>
      </c>
      <c r="D107" t="str">
        <f t="array" ref="D107">IF(TRIM('Raw Data'!D107)&lt;&gt;"",TRIM('Raw Data'!D107),IFERROR(INDEX('Reference Table'!$A$2:$A$46,MATCH(VALUE('Raw Data'!E107),VALUE('Reference Table'!$B$2:$B$46),0)),"Unknown"))</f>
        <v>Milk_Ghee_500ml</v>
      </c>
      <c r="E107">
        <f>IF('Raw Data'!E107&lt;&gt;"",'Raw Data'!E107,IFERROR(INDEX('Reference Table'!$B$2:$B$32,MATCH(D107,'Reference Table'!$A$2:$A$32,0)),""))</f>
        <v>350</v>
      </c>
      <c r="F107">
        <f>IF('Raw Data'!F107&lt;&gt;"",'Raw Data'!F107,IFERROR(ROUND('Raw Data'!G107/E107,0),""))</f>
        <v>4</v>
      </c>
      <c r="G107">
        <f>IF('Raw Data'!G107&lt;&gt;"",'Raw Data'!G107,IFERROR(ROUND(E107*F107,2),""))</f>
        <v>1400</v>
      </c>
      <c r="H107" t="str">
        <f>'Raw Data'!H107</f>
        <v>Debit Card</v>
      </c>
      <c r="I107" t="str">
        <f>IF('Raw Data'!D107="",IF(D107="Unknown","Could not recover","Filled from Price lookup"),IF(TRIM('Raw Data'!D107)&lt;&gt;'Raw Data'!D107,"Trimmed whitespace","OK"))</f>
        <v>OK</v>
      </c>
      <c r="J107" t="str">
        <f t="shared" si="1"/>
        <v>OK</v>
      </c>
    </row>
    <row r="108" spans="1:10">
      <c r="A108" t="str">
        <f>'Raw Data'!A108</f>
        <v>TXN_1313</v>
      </c>
      <c r="B108" s="1">
        <f>'Raw Data'!B108</f>
        <v>45679</v>
      </c>
      <c r="C108" t="str">
        <f>IFERROR(INDEX('Reference Table'!$C$2:$C$46,MATCH(D108,'Reference Table'!$A$2:$A$46,0)),"Unknown")</f>
        <v>Butchers</v>
      </c>
      <c r="D108" t="str">
        <f t="array" ref="D108">IF(TRIM('Raw Data'!D108)&lt;&gt;"",TRIM('Raw Data'!D108),IFERROR(INDEX('Reference Table'!$A$2:$A$46,MATCH(VALUE('Raw Data'!E108),VALUE('Reference Table'!$B$2:$B$46),0)),"Unknown"))</f>
        <v xml:space="preserve">  Meat_Mutton_1kg  </v>
      </c>
      <c r="E108">
        <f>IF('Raw Data'!E108&lt;&gt;"",'Raw Data'!E108,IFERROR(INDEX('Reference Table'!$B$2:$B$32,MATCH(D108,'Reference Table'!$A$2:$A$32,0)),""))</f>
        <v>650</v>
      </c>
      <c r="F108">
        <f>IF('Raw Data'!F108&lt;&gt;"",'Raw Data'!F108,IFERROR(ROUND('Raw Data'!G108/E108,0),""))</f>
        <v>6</v>
      </c>
      <c r="G108">
        <f>IF('Raw Data'!G108&lt;&gt;"",'Raw Data'!G108,IFERROR(ROUND(E108*F108,2),""))</f>
        <v>3900</v>
      </c>
      <c r="H108" t="str">
        <f>'Raw Data'!H108</f>
        <v>Credit Card</v>
      </c>
      <c r="I108" t="str">
        <f>IF('Raw Data'!D108="",IF(D108="Unknown","Could not recover","Filled from Price lookup"),IF(TRIM('Raw Data'!D108)&lt;&gt;'Raw Data'!D108,"Trimmed whitespace","OK"))</f>
        <v>Filled from Price lookup</v>
      </c>
      <c r="J108" t="str">
        <f t="shared" si="1"/>
        <v>OK</v>
      </c>
    </row>
    <row r="109" spans="1:10">
      <c r="A109" t="str">
        <f>'Raw Data'!A109</f>
        <v>TXN_1035</v>
      </c>
      <c r="B109" s="1">
        <f>'Raw Data'!B109</f>
        <v>45845</v>
      </c>
      <c r="C109" t="str">
        <f>IFERROR(INDEX('Reference Table'!$C$2:$C$46,MATCH(D109,'Reference Table'!$A$2:$A$46,0)),"Unknown")</f>
        <v>Food</v>
      </c>
      <c r="D109" t="str">
        <f t="array" ref="D109">IF(TRIM('Raw Data'!D109)&lt;&gt;"",TRIM('Raw Data'!D109),IFERROR(INDEX('Reference Table'!$A$2:$A$46,MATCH(VALUE('Raw Data'!E109),VALUE('Reference Table'!$B$2:$B$46),0)),"Unknown"))</f>
        <v>Food_Rice_1kg</v>
      </c>
      <c r="E109">
        <f>IF('Raw Data'!E109&lt;&gt;"",'Raw Data'!E109,IFERROR(INDEX('Reference Table'!$B$2:$B$32,MATCH(D109,'Reference Table'!$A$2:$A$32,0)),""))</f>
        <v>70</v>
      </c>
      <c r="F109">
        <f>IF('Raw Data'!F109&lt;&gt;"",'Raw Data'!F109,IFERROR(ROUND('Raw Data'!G109/E109,0),""))</f>
        <v>1</v>
      </c>
      <c r="G109">
        <f>IF('Raw Data'!G109&lt;&gt;"",'Raw Data'!G109,IFERROR(ROUND(E109*F109,2),""))</f>
        <v>70</v>
      </c>
      <c r="H109" t="str">
        <f>'Raw Data'!H109</f>
        <v>Mobile Payment</v>
      </c>
      <c r="I109" t="str">
        <f>IF('Raw Data'!D109="",IF(D109="Unknown","Could not recover","Filled from Price lookup"),IF(TRIM('Raw Data'!D109)&lt;&gt;'Raw Data'!D109,"Trimmed whitespace","OK"))</f>
        <v>OK</v>
      </c>
      <c r="J109" t="str">
        <f t="shared" si="1"/>
        <v>OK</v>
      </c>
    </row>
    <row r="110" spans="1:10">
      <c r="A110" t="str">
        <f>'Raw Data'!A110</f>
        <v>TXN_1168</v>
      </c>
      <c r="B110" s="1">
        <f>'Raw Data'!B110</f>
        <v>45814</v>
      </c>
      <c r="C110" t="str">
        <f>IFERROR(INDEX('Reference Table'!$C$2:$C$46,MATCH(D110,'Reference Table'!$A$2:$A$46,0)),"Unknown")</f>
        <v>Furniture</v>
      </c>
      <c r="D110" t="str">
        <f t="array" ref="D110">IF(TRIM('Raw Data'!D110)&lt;&gt;"",TRIM('Raw Data'!D110),IFERROR(INDEX('Reference Table'!$A$2:$A$46,MATCH(VALUE('Raw Data'!E110),VALUE('Reference Table'!$B$2:$B$46),0)),"Unknown"))</f>
        <v>Furn_Cushion</v>
      </c>
      <c r="E110">
        <f>IF('Raw Data'!E110&lt;&gt;"",'Raw Data'!E110,IFERROR(INDEX('Reference Table'!$B$2:$B$32,MATCH(D110,'Reference Table'!$A$2:$A$32,0)),""))</f>
        <v>350</v>
      </c>
      <c r="F110">
        <f>IF('Raw Data'!F110&lt;&gt;"",'Raw Data'!F110,IFERROR(ROUND('Raw Data'!G110/E110,0),""))</f>
        <v>1</v>
      </c>
      <c r="G110">
        <f>IF('Raw Data'!G110&lt;&gt;"",'Raw Data'!G110,IFERROR(ROUND(E110*F110,2),""))</f>
        <v>350</v>
      </c>
      <c r="H110" t="str">
        <f>'Raw Data'!H110</f>
        <v>Cash</v>
      </c>
      <c r="I110" t="str">
        <f>IF('Raw Data'!D110="",IF(D110="Unknown","Could not recover","Filled from Price lookup"),IF(TRIM('Raw Data'!D110)&lt;&gt;'Raw Data'!D110,"Trimmed whitespace","OK"))</f>
        <v>OK</v>
      </c>
      <c r="J110" t="str">
        <f t="shared" si="1"/>
        <v>OK</v>
      </c>
    </row>
    <row r="111" spans="1:10">
      <c r="A111" t="str">
        <f>'Raw Data'!A111</f>
        <v>TXN_1290</v>
      </c>
      <c r="B111" s="1">
        <f>'Raw Data'!B111</f>
        <v>45672</v>
      </c>
      <c r="C111" t="str">
        <f>IFERROR(INDEX('Reference Table'!$C$2:$C$46,MATCH(D111,'Reference Table'!$A$2:$A$46,0)),"Unknown")</f>
        <v>Electric Accessories</v>
      </c>
      <c r="D111" t="str">
        <f t="array" ref="D111">IF(TRIM('Raw Data'!D111)&lt;&gt;"",TRIM('Raw Data'!D111),IFERROR(INDEX('Reference Table'!$A$2:$A$46,MATCH(VALUE('Raw Data'!E111),VALUE('Reference Table'!$B$2:$B$46),0)),"Unknown"))</f>
        <v>Elec_Cable_USB</v>
      </c>
      <c r="E111">
        <f>IF('Raw Data'!E111&lt;&gt;"",'Raw Data'!E111,IFERROR(INDEX('Reference Table'!$B$2:$B$32,MATCH(D111,'Reference Table'!$A$2:$A$32,0)),""))</f>
        <v>150</v>
      </c>
      <c r="F111">
        <f>IF('Raw Data'!F111&lt;&gt;"",'Raw Data'!F111,IFERROR(ROUND('Raw Data'!G111/E111,0),""))</f>
        <v>5</v>
      </c>
      <c r="G111">
        <f>IF('Raw Data'!G111&lt;&gt;"",'Raw Data'!G111,IFERROR(ROUND(E111*F111,2),""))</f>
        <v>750</v>
      </c>
      <c r="H111" t="str">
        <f>'Raw Data'!H111</f>
        <v>Cash</v>
      </c>
      <c r="I111" t="str">
        <f>IF('Raw Data'!D111="",IF(D111="Unknown","Could not recover","Filled from Price lookup"),IF(TRIM('Raw Data'!D111)&lt;&gt;'Raw Data'!D111,"Trimmed whitespace","OK"))</f>
        <v>OK</v>
      </c>
      <c r="J111" t="str">
        <f t="shared" si="1"/>
        <v>OK</v>
      </c>
    </row>
    <row r="112" spans="1:10">
      <c r="A112" t="str">
        <f>'Raw Data'!A112</f>
        <v>TXN_1314</v>
      </c>
      <c r="B112" s="1">
        <f>'Raw Data'!B112</f>
        <v>45792</v>
      </c>
      <c r="C112" t="str">
        <f>IFERROR(INDEX('Reference Table'!$C$2:$C$46,MATCH(D112,'Reference Table'!$A$2:$A$46,0)),"Unknown")</f>
        <v>Electric Accessories</v>
      </c>
      <c r="D112" t="str">
        <f t="array" ref="D112">IF(TRIM('Raw Data'!D112)&lt;&gt;"",TRIM('Raw Data'!D112),IFERROR(INDEX('Reference Table'!$A$2:$A$46,MATCH(VALUE('Raw Data'!E112),VALUE('Reference Table'!$B$2:$B$46),0)),"Unknown"))</f>
        <v>Elec_Batteries_4pk</v>
      </c>
      <c r="E112">
        <f>IF('Raw Data'!E112&lt;&gt;"",'Raw Data'!E112,IFERROR(INDEX('Reference Table'!$B$2:$B$32,MATCH(D112,'Reference Table'!$A$2:$A$32,0)),""))</f>
        <v>90</v>
      </c>
      <c r="F112">
        <f>IF('Raw Data'!F112&lt;&gt;"",'Raw Data'!F112,IFERROR(ROUND('Raw Data'!G112/E112,0),""))</f>
        <v>4</v>
      </c>
      <c r="G112">
        <f>IF('Raw Data'!G112&lt;&gt;"",'Raw Data'!G112,IFERROR(ROUND(E112*F112,2),""))</f>
        <v>540</v>
      </c>
      <c r="H112" t="str">
        <f>'Raw Data'!H112</f>
        <v>Credit Card</v>
      </c>
      <c r="I112" t="str">
        <f>IF('Raw Data'!D112="",IF(D112="Unknown","Could not recover","Filled from Price lookup"),IF(TRIM('Raw Data'!D112)&lt;&gt;'Raw Data'!D112,"Trimmed whitespace","OK"))</f>
        <v>OK</v>
      </c>
      <c r="J112" t="str">
        <f t="shared" si="1"/>
        <v>Mismatch</v>
      </c>
    </row>
    <row r="113" spans="1:10">
      <c r="A113" t="str">
        <f>'Raw Data'!A113</f>
        <v>TXN_1479</v>
      </c>
      <c r="B113" s="1">
        <f>'Raw Data'!B113</f>
        <v>45713</v>
      </c>
      <c r="C113" t="str">
        <f>IFERROR(INDEX('Reference Table'!$C$2:$C$46,MATCH(D113,'Reference Table'!$A$2:$A$46,0)),"Unknown")</f>
        <v>Beverages</v>
      </c>
      <c r="D113" t="str">
        <f t="array" ref="D113">IF(TRIM('Raw Data'!D113)&lt;&gt;"",TRIM('Raw Data'!D113),IFERROR(INDEX('Reference Table'!$A$2:$A$46,MATCH(VALUE('Raw Data'!E113),VALUE('Reference Table'!$B$2:$B$46),0)),"Unknown"))</f>
        <v>Bev_Cola_1L</v>
      </c>
      <c r="E113">
        <f>IF('Raw Data'!E113&lt;&gt;"",'Raw Data'!E113,IFERROR(INDEX('Reference Table'!$B$2:$B$32,MATCH(D113,'Reference Table'!$A$2:$A$32,0)),""))</f>
        <v>60</v>
      </c>
      <c r="F113">
        <f>IF('Raw Data'!F113&lt;&gt;"",'Raw Data'!F113,IFERROR(ROUND('Raw Data'!G113/E113,0),""))</f>
        <v>6</v>
      </c>
      <c r="G113">
        <f>IF('Raw Data'!G113&lt;&gt;"",'Raw Data'!G113,IFERROR(ROUND(E113*F113,2),""))</f>
        <v>360</v>
      </c>
      <c r="H113" t="str">
        <f>'Raw Data'!H113</f>
        <v>Cash</v>
      </c>
      <c r="I113" t="str">
        <f>IF('Raw Data'!D113="",IF(D113="Unknown","Could not recover","Filled from Price lookup"),IF(TRIM('Raw Data'!D113)&lt;&gt;'Raw Data'!D113,"Trimmed whitespace","OK"))</f>
        <v>Filled from Price lookup</v>
      </c>
      <c r="J113" t="str">
        <f t="shared" si="1"/>
        <v>OK</v>
      </c>
    </row>
    <row r="114" spans="1:10">
      <c r="A114" t="str">
        <f>'Raw Data'!A114</f>
        <v>TXN_1458</v>
      </c>
      <c r="B114" s="1">
        <f>'Raw Data'!B114</f>
        <v>45784</v>
      </c>
      <c r="C114" t="str">
        <f>IFERROR(INDEX('Reference Table'!$C$2:$C$46,MATCH(D114,'Reference Table'!$A$2:$A$46,0)),"Unknown")</f>
        <v>Computers</v>
      </c>
      <c r="D114" t="str">
        <f t="array" ref="D114">IF(TRIM('Raw Data'!D114)&lt;&gt;"",TRIM('Raw Data'!D114),IFERROR(INDEX('Reference Table'!$A$2:$A$46,MATCH(VALUE('Raw Data'!E114),VALUE('Reference Table'!$B$2:$B$46),0)),"Unknown"))</f>
        <v>Comp_Webcam</v>
      </c>
      <c r="E114">
        <f>IF('Raw Data'!E114&lt;&gt;"",'Raw Data'!E114,IFERROR(INDEX('Reference Table'!$B$2:$B$32,MATCH(D114,'Reference Table'!$A$2:$A$32,0)),""))</f>
        <v>1200</v>
      </c>
      <c r="F114">
        <f>IF('Raw Data'!F114&lt;&gt;"",'Raw Data'!F114,IFERROR(ROUND('Raw Data'!G114/E114,0),""))</f>
        <v>5</v>
      </c>
      <c r="G114">
        <f>IF('Raw Data'!G114&lt;&gt;"",'Raw Data'!G114,IFERROR(ROUND(E114*F114,2),""))</f>
        <v>6000</v>
      </c>
      <c r="H114" t="str">
        <f>'Raw Data'!H114</f>
        <v>Credit Card</v>
      </c>
      <c r="I114" t="str">
        <f>IF('Raw Data'!D114="",IF(D114="Unknown","Could not recover","Filled from Price lookup"),IF(TRIM('Raw Data'!D114)&lt;&gt;'Raw Data'!D114,"Trimmed whitespace","OK"))</f>
        <v>OK</v>
      </c>
      <c r="J114" t="str">
        <f t="shared" si="1"/>
        <v>OK</v>
      </c>
    </row>
    <row r="115" spans="1:10">
      <c r="A115" t="str">
        <f>'Raw Data'!A115</f>
        <v>TXN_1388</v>
      </c>
      <c r="B115" s="1">
        <f>'Raw Data'!B115</f>
        <v>45842</v>
      </c>
      <c r="C115" t="str">
        <f>IFERROR(INDEX('Reference Table'!$C$2:$C$46,MATCH(D115,'Reference Table'!$A$2:$A$46,0)),"Unknown")</f>
        <v>Electric Accessories</v>
      </c>
      <c r="D115" t="str">
        <f t="array" ref="D115">IF(TRIM('Raw Data'!D115)&lt;&gt;"",TRIM('Raw Data'!D115),IFERROR(INDEX('Reference Table'!$A$2:$A$46,MATCH(VALUE('Raw Data'!E115),VALUE('Reference Table'!$B$2:$B$46),0)),"Unknown"))</f>
        <v>Elec_Cable_USB</v>
      </c>
      <c r="E115">
        <f>IF('Raw Data'!E115&lt;&gt;"",'Raw Data'!E115,IFERROR(INDEX('Reference Table'!$B$2:$B$32,MATCH(D115,'Reference Table'!$A$2:$A$32,0)),""))</f>
        <v>150</v>
      </c>
      <c r="F115">
        <f>IF('Raw Data'!F115&lt;&gt;"",'Raw Data'!F115,IFERROR(ROUND('Raw Data'!G115/E115,0),""))</f>
        <v>6</v>
      </c>
      <c r="G115">
        <f>IF('Raw Data'!G115&lt;&gt;"",'Raw Data'!G115,IFERROR(ROUND(E115*F115,2),""))</f>
        <v>900</v>
      </c>
      <c r="H115" t="str">
        <f>'Raw Data'!H115</f>
        <v>Mobile Payment</v>
      </c>
      <c r="I115" t="str">
        <f>IF('Raw Data'!D115="",IF(D115="Unknown","Could not recover","Filled from Price lookup"),IF(TRIM('Raw Data'!D115)&lt;&gt;'Raw Data'!D115,"Trimmed whitespace","OK"))</f>
        <v>OK</v>
      </c>
      <c r="J115" t="str">
        <f t="shared" si="1"/>
        <v>OK</v>
      </c>
    </row>
    <row r="116" spans="1:10">
      <c r="A116" t="str">
        <f>'Raw Data'!A116</f>
        <v>TXN_1249</v>
      </c>
      <c r="B116" s="1">
        <f>'Raw Data'!B116</f>
        <v>45821</v>
      </c>
      <c r="C116" t="str">
        <f>IFERROR(INDEX('Reference Table'!$C$2:$C$46,MATCH(D116,'Reference Table'!$A$2:$A$46,0)),"Unknown")</f>
        <v>Milk Products</v>
      </c>
      <c r="D116" t="str">
        <f t="array" ref="D116">IF(TRIM('Raw Data'!D116)&lt;&gt;"",TRIM('Raw Data'!D116),IFERROR(INDEX('Reference Table'!$A$2:$A$46,MATCH(VALUE('Raw Data'!E116),VALUE('Reference Table'!$B$2:$B$46),0)),"Unknown"))</f>
        <v>Milk_Paneer_200g</v>
      </c>
      <c r="E116">
        <f>IF('Raw Data'!E116&lt;&gt;"",'Raw Data'!E116,IFERROR(INDEX('Reference Table'!$B$2:$B$32,MATCH(D116,'Reference Table'!$A$2:$A$32,0)),""))</f>
        <v>80</v>
      </c>
      <c r="F116">
        <f>IF('Raw Data'!F116&lt;&gt;"",'Raw Data'!F116,IFERROR(ROUND('Raw Data'!G116/E116,0),""))</f>
        <v>6</v>
      </c>
      <c r="G116">
        <f>IF('Raw Data'!G116&lt;&gt;"",'Raw Data'!G116,IFERROR(ROUND(E116*F116,2),""))</f>
        <v>480</v>
      </c>
      <c r="H116" t="str">
        <f>'Raw Data'!H116</f>
        <v>Cash</v>
      </c>
      <c r="I116" t="str">
        <f>IF('Raw Data'!D116="",IF(D116="Unknown","Could not recover","Filled from Price lookup"),IF(TRIM('Raw Data'!D116)&lt;&gt;'Raw Data'!D116,"Trimmed whitespace","OK"))</f>
        <v>Filled from Price lookup</v>
      </c>
      <c r="J116" t="str">
        <f t="shared" si="1"/>
        <v>OK</v>
      </c>
    </row>
    <row r="117" spans="1:10">
      <c r="A117" t="str">
        <f>'Raw Data'!A117</f>
        <v>TXN_1206</v>
      </c>
      <c r="B117" s="1">
        <f>'Raw Data'!B117</f>
        <v>45786</v>
      </c>
      <c r="C117" t="str">
        <f>IFERROR(INDEX('Reference Table'!$C$2:$C$46,MATCH(D117,'Reference Table'!$A$2:$A$46,0)),"Unknown")</f>
        <v>Beverages</v>
      </c>
      <c r="D117" t="str">
        <f t="array" ref="D117">IF(TRIM('Raw Data'!D117)&lt;&gt;"",TRIM('Raw Data'!D117),IFERROR(INDEX('Reference Table'!$A$2:$A$46,MATCH(VALUE('Raw Data'!E117),VALUE('Reference Table'!$B$2:$B$46),0)),"Unknown"))</f>
        <v>Bev_Water_1L</v>
      </c>
      <c r="E117">
        <f>IF('Raw Data'!E117&lt;&gt;"",'Raw Data'!E117,IFERROR(INDEX('Reference Table'!$B$2:$B$32,MATCH(D117,'Reference Table'!$A$2:$A$32,0)),""))</f>
        <v>20</v>
      </c>
      <c r="F117">
        <f>IF('Raw Data'!F117&lt;&gt;"",'Raw Data'!F117,IFERROR(ROUND('Raw Data'!G117/E117,0),""))</f>
        <v>2</v>
      </c>
      <c r="G117">
        <f>IF('Raw Data'!G117&lt;&gt;"",'Raw Data'!G117,IFERROR(ROUND(E117*F117,2),""))</f>
        <v>40</v>
      </c>
      <c r="H117" t="str">
        <f>'Raw Data'!H117</f>
        <v>Debit Card</v>
      </c>
      <c r="I117" t="str">
        <f>IF('Raw Data'!D117="",IF(D117="Unknown","Could not recover","Filled from Price lookup"),IF(TRIM('Raw Data'!D117)&lt;&gt;'Raw Data'!D117,"Trimmed whitespace","OK"))</f>
        <v>OK</v>
      </c>
      <c r="J117" t="str">
        <f t="shared" si="1"/>
        <v>OK</v>
      </c>
    </row>
    <row r="118" spans="1:10">
      <c r="A118" t="str">
        <f>'Raw Data'!A118</f>
        <v>TXN_1564</v>
      </c>
      <c r="B118" s="1">
        <f>'Raw Data'!B118</f>
        <v>45810</v>
      </c>
      <c r="C118" t="str">
        <f>IFERROR(INDEX('Reference Table'!$C$2:$C$46,MATCH(D118,'Reference Table'!$A$2:$A$46,0)),"Unknown")</f>
        <v>Electric Accessories</v>
      </c>
      <c r="D118" t="str">
        <f t="array" ref="D118">IF(TRIM('Raw Data'!D118)&lt;&gt;"",TRIM('Raw Data'!D118),IFERROR(INDEX('Reference Table'!$A$2:$A$46,MATCH(VALUE('Raw Data'!E118),VALUE('Reference Table'!$B$2:$B$46),0)),"Unknown"))</f>
        <v>Elec_Earphones</v>
      </c>
      <c r="E118">
        <f>IF('Raw Data'!E118&lt;&gt;"",'Raw Data'!E118,IFERROR(INDEX('Reference Table'!$B$2:$B$32,MATCH(D118,'Reference Table'!$A$2:$A$32,0)),""))</f>
        <v>350</v>
      </c>
      <c r="F118">
        <f>IF('Raw Data'!F118&lt;&gt;"",'Raw Data'!F118,IFERROR(ROUND('Raw Data'!G118/E118,0),""))</f>
        <v>6</v>
      </c>
      <c r="G118">
        <f>IF('Raw Data'!G118&lt;&gt;"",'Raw Data'!G118,IFERROR(ROUND(E118*F118,2),""))</f>
        <v>2100</v>
      </c>
      <c r="H118" t="str">
        <f>'Raw Data'!H118</f>
        <v>Credit Card</v>
      </c>
      <c r="I118" t="str">
        <f>IF('Raw Data'!D118="",IF(D118="Unknown","Could not recover","Filled from Price lookup"),IF(TRIM('Raw Data'!D118)&lt;&gt;'Raw Data'!D118,"Trimmed whitespace","OK"))</f>
        <v>OK</v>
      </c>
      <c r="J118" t="str">
        <f t="shared" si="1"/>
        <v>OK</v>
      </c>
    </row>
    <row r="119" spans="1:10">
      <c r="A119" t="str">
        <f>'Raw Data'!A119</f>
        <v>TXN_1209</v>
      </c>
      <c r="B119" s="1">
        <f>'Raw Data'!B119</f>
        <v>45817</v>
      </c>
      <c r="C119" t="str">
        <f>IFERROR(INDEX('Reference Table'!$C$2:$C$46,MATCH(D119,'Reference Table'!$A$2:$A$46,0)),"Unknown")</f>
        <v>Patisserie</v>
      </c>
      <c r="D119" t="str">
        <f t="array" ref="D119">IF(TRIM('Raw Data'!D119)&lt;&gt;"",TRIM('Raw Data'!D119),IFERROR(INDEX('Reference Table'!$A$2:$A$46,MATCH(VALUE('Raw Data'!E119),VALUE('Reference Table'!$B$2:$B$46),0)),"Unknown"))</f>
        <v>Pat_Muffin</v>
      </c>
      <c r="E119">
        <f>IF('Raw Data'!E119&lt;&gt;"",'Raw Data'!E119,IFERROR(INDEX('Reference Table'!$B$2:$B$32,MATCH(D119,'Reference Table'!$A$2:$A$32,0)),""))</f>
        <v>35</v>
      </c>
      <c r="F119">
        <f>IF('Raw Data'!F119&lt;&gt;"",'Raw Data'!F119,IFERROR(ROUND('Raw Data'!G119/E119,0),""))</f>
        <v>3</v>
      </c>
      <c r="G119">
        <f>IF('Raw Data'!G119&lt;&gt;"",'Raw Data'!G119,IFERROR(ROUND(E119*F119,2),""))</f>
        <v>105</v>
      </c>
      <c r="H119" t="str">
        <f>'Raw Data'!H119</f>
        <v>Mobile Payment</v>
      </c>
      <c r="I119" t="str">
        <f>IF('Raw Data'!D119="",IF(D119="Unknown","Could not recover","Filled from Price lookup"),IF(TRIM('Raw Data'!D119)&lt;&gt;'Raw Data'!D119,"Trimmed whitespace","OK"))</f>
        <v>OK</v>
      </c>
      <c r="J119" t="str">
        <f t="shared" si="1"/>
        <v>OK</v>
      </c>
    </row>
    <row r="120" spans="1:10">
      <c r="A120" t="str">
        <f>'Raw Data'!A120</f>
        <v>TXN_1444</v>
      </c>
      <c r="B120" s="1">
        <f>'Raw Data'!B120</f>
        <v>45678</v>
      </c>
      <c r="C120" t="str">
        <f>IFERROR(INDEX('Reference Table'!$C$2:$C$46,MATCH(D120,'Reference Table'!$A$2:$A$46,0)),"Unknown")</f>
        <v>Patisserie</v>
      </c>
      <c r="D120" t="str">
        <f t="array" ref="D120">IF(TRIM('Raw Data'!D120)&lt;&gt;"",TRIM('Raw Data'!D120),IFERROR(INDEX('Reference Table'!$A$2:$A$46,MATCH(VALUE('Raw Data'!E120),VALUE('Reference Table'!$B$2:$B$46),0)),"Unknown"))</f>
        <v>Pat_Cake_Slice</v>
      </c>
      <c r="E120">
        <f>IF('Raw Data'!E120&lt;&gt;"",'Raw Data'!E120,IFERROR(INDEX('Reference Table'!$B$2:$B$32,MATCH(D120,'Reference Table'!$A$2:$A$32,0)),""))</f>
        <v>90</v>
      </c>
      <c r="F120">
        <f>IF('Raw Data'!F120&lt;&gt;"",'Raw Data'!F120,IFERROR(ROUND('Raw Data'!G120/E120,0),""))</f>
        <v>6</v>
      </c>
      <c r="G120">
        <f>IF('Raw Data'!G120&lt;&gt;"",'Raw Data'!G120,IFERROR(ROUND(E120*F120,2),""))</f>
        <v>540</v>
      </c>
      <c r="H120" t="str">
        <f>'Raw Data'!H120</f>
        <v>Debit Card</v>
      </c>
      <c r="I120" t="str">
        <f>IF('Raw Data'!D120="",IF(D120="Unknown","Could not recover","Filled from Price lookup"),IF(TRIM('Raw Data'!D120)&lt;&gt;'Raw Data'!D120,"Trimmed whitespace","OK"))</f>
        <v>OK</v>
      </c>
      <c r="J120" t="str">
        <f t="shared" si="1"/>
        <v>OK</v>
      </c>
    </row>
    <row r="121" spans="1:10">
      <c r="A121" t="str">
        <f>'Raw Data'!A121</f>
        <v>TXN_1258</v>
      </c>
      <c r="B121" s="1">
        <f>'Raw Data'!B121</f>
        <v>45772</v>
      </c>
      <c r="C121" t="str">
        <f>IFERROR(INDEX('Reference Table'!$C$2:$C$46,MATCH(D121,'Reference Table'!$A$2:$A$46,0)),"Unknown")</f>
        <v>Beverages</v>
      </c>
      <c r="D121" t="str">
        <f t="array" ref="D121">IF(TRIM('Raw Data'!D121)&lt;&gt;"",TRIM('Raw Data'!D121),IFERROR(INDEX('Reference Table'!$A$2:$A$46,MATCH(VALUE('Raw Data'!E121),VALUE('Reference Table'!$B$2:$B$46),0)),"Unknown"))</f>
        <v>Bev_Tea_100g</v>
      </c>
      <c r="E121">
        <f>IF('Raw Data'!E121&lt;&gt;"",'Raw Data'!E121,IFERROR(INDEX('Reference Table'!$B$2:$B$32,MATCH(D121,'Reference Table'!$A$2:$A$32,0)),""))</f>
        <v>90</v>
      </c>
      <c r="F121">
        <f>IF('Raw Data'!F121&lt;&gt;"",'Raw Data'!F121,IFERROR(ROUND('Raw Data'!G121/E121,0),""))</f>
        <v>4</v>
      </c>
      <c r="G121">
        <f>IF('Raw Data'!G121&lt;&gt;"",'Raw Data'!G121,IFERROR(ROUND(E121*F121,2),""))</f>
        <v>360</v>
      </c>
      <c r="H121" t="str">
        <f>'Raw Data'!H121</f>
        <v>Debit Card</v>
      </c>
      <c r="I121" t="str">
        <f>IF('Raw Data'!D121="",IF(D121="Unknown","Could not recover","Filled from Price lookup"),IF(TRIM('Raw Data'!D121)&lt;&gt;'Raw Data'!D121,"Trimmed whitespace","OK"))</f>
        <v>OK</v>
      </c>
      <c r="J121" t="str">
        <f t="shared" si="1"/>
        <v>OK</v>
      </c>
    </row>
    <row r="122" spans="1:10">
      <c r="A122" t="str">
        <f>'Raw Data'!A122</f>
        <v>TXN_1204</v>
      </c>
      <c r="B122" s="1">
        <f>'Raw Data'!B122</f>
        <v>45739</v>
      </c>
      <c r="C122" t="str">
        <f>IFERROR(INDEX('Reference Table'!$C$2:$C$46,MATCH(D122,'Reference Table'!$A$2:$A$46,0)),"Unknown")</f>
        <v>Electric Accessories</v>
      </c>
      <c r="D122" t="str">
        <f t="array" ref="D122">IF(TRIM('Raw Data'!D122)&lt;&gt;"",TRIM('Raw Data'!D122),IFERROR(INDEX('Reference Table'!$A$2:$A$46,MATCH(VALUE('Raw Data'!E122),VALUE('Reference Table'!$B$2:$B$46),0)),"Unknown"))</f>
        <v>Elec_Charger</v>
      </c>
      <c r="E122">
        <f>IF('Raw Data'!E122&lt;&gt;"",'Raw Data'!E122,IFERROR(INDEX('Reference Table'!$B$2:$B$32,MATCH(D122,'Reference Table'!$A$2:$A$32,0)),""))</f>
        <v>400</v>
      </c>
      <c r="F122">
        <f>IF('Raw Data'!F122&lt;&gt;"",'Raw Data'!F122,IFERROR(ROUND('Raw Data'!G122/E122,0),""))</f>
        <v>1</v>
      </c>
      <c r="G122">
        <f>IF('Raw Data'!G122&lt;&gt;"",'Raw Data'!G122,IFERROR(ROUND(E122*F122,2),""))</f>
        <v>400</v>
      </c>
      <c r="H122" t="str">
        <f>'Raw Data'!H122</f>
        <v>Mobile Payment</v>
      </c>
      <c r="I122" t="str">
        <f>IF('Raw Data'!D122="",IF(D122="Unknown","Could not recover","Filled from Price lookup"),IF(TRIM('Raw Data'!D122)&lt;&gt;'Raw Data'!D122,"Trimmed whitespace","OK"))</f>
        <v>OK</v>
      </c>
      <c r="J122" t="str">
        <f t="shared" si="1"/>
        <v>OK</v>
      </c>
    </row>
    <row r="123" spans="1:10">
      <c r="A123" t="str">
        <f>'Raw Data'!A123</f>
        <v>TXN_1136</v>
      </c>
      <c r="B123" s="1">
        <f>'Raw Data'!B123</f>
        <v>45809</v>
      </c>
      <c r="C123" t="str">
        <f>IFERROR(INDEX('Reference Table'!$C$2:$C$46,MATCH(D123,'Reference Table'!$A$2:$A$46,0)),"Unknown")</f>
        <v>Beverages</v>
      </c>
      <c r="D123" t="str">
        <f t="array" ref="D123">IF(TRIM('Raw Data'!D123)&lt;&gt;"",TRIM('Raw Data'!D123),IFERROR(INDEX('Reference Table'!$A$2:$A$46,MATCH(VALUE('Raw Data'!E123),VALUE('Reference Table'!$B$2:$B$46),0)),"Unknown"))</f>
        <v>Bev_Cola_1L</v>
      </c>
      <c r="E123">
        <f>IF('Raw Data'!E123&lt;&gt;"",'Raw Data'!E123,IFERROR(INDEX('Reference Table'!$B$2:$B$32,MATCH(D123,'Reference Table'!$A$2:$A$32,0)),""))</f>
        <v>60</v>
      </c>
      <c r="F123">
        <f>IF('Raw Data'!F123&lt;&gt;"",'Raw Data'!F123,IFERROR(ROUND('Raw Data'!G123/E123,0),""))</f>
        <v>1</v>
      </c>
      <c r="G123">
        <f>IF('Raw Data'!G123&lt;&gt;"",'Raw Data'!G123,IFERROR(ROUND(E123*F123,2),""))</f>
        <v>60</v>
      </c>
      <c r="H123" t="str">
        <f>'Raw Data'!H123</f>
        <v>Credit Card</v>
      </c>
      <c r="I123" t="str">
        <f>IF('Raw Data'!D123="",IF(D123="Unknown","Could not recover","Filled from Price lookup"),IF(TRIM('Raw Data'!D123)&lt;&gt;'Raw Data'!D123,"Trimmed whitespace","OK"))</f>
        <v>Filled from Price lookup</v>
      </c>
      <c r="J123" t="str">
        <f t="shared" si="1"/>
        <v>OK</v>
      </c>
    </row>
    <row r="124" spans="1:10">
      <c r="A124" t="str">
        <f>'Raw Data'!A124</f>
        <v>TXN_1245</v>
      </c>
      <c r="B124" s="1">
        <f>'Raw Data'!B124</f>
        <v>45834</v>
      </c>
      <c r="C124" t="str">
        <f>IFERROR(INDEX('Reference Table'!$C$2:$C$46,MATCH(D124,'Reference Table'!$A$2:$A$46,0)),"Unknown")</f>
        <v>Patisserie</v>
      </c>
      <c r="D124" t="str">
        <f t="array" ref="D124">IF(TRIM('Raw Data'!D124)&lt;&gt;"",TRIM('Raw Data'!D124),IFERROR(INDEX('Reference Table'!$A$2:$A$46,MATCH(VALUE('Raw Data'!E124),VALUE('Reference Table'!$B$2:$B$46),0)),"Unknown"))</f>
        <v>Pat_Donut</v>
      </c>
      <c r="E124">
        <f>IF('Raw Data'!E124&lt;&gt;"",'Raw Data'!E124,IFERROR(INDEX('Reference Table'!$B$2:$B$32,MATCH(D124,'Reference Table'!$A$2:$A$32,0)),""))</f>
        <v>30</v>
      </c>
      <c r="F124">
        <f>IF('Raw Data'!F124&lt;&gt;"",'Raw Data'!F124,IFERROR(ROUND('Raw Data'!G124/E124,0),""))</f>
        <v>1</v>
      </c>
      <c r="G124">
        <f>IF('Raw Data'!G124&lt;&gt;"",'Raw Data'!G124,IFERROR(ROUND(E124*F124,2),""))</f>
        <v>30</v>
      </c>
      <c r="H124" t="str">
        <f>'Raw Data'!H124</f>
        <v>Debit Card</v>
      </c>
      <c r="I124" t="str">
        <f>IF('Raw Data'!D124="",IF(D124="Unknown","Could not recover","Filled from Price lookup"),IF(TRIM('Raw Data'!D124)&lt;&gt;'Raw Data'!D124,"Trimmed whitespace","OK"))</f>
        <v>OK</v>
      </c>
      <c r="J124" t="str">
        <f t="shared" si="1"/>
        <v>OK</v>
      </c>
    </row>
    <row r="125" spans="1:10">
      <c r="A125" t="str">
        <f>'Raw Data'!A125</f>
        <v>TXN_1099</v>
      </c>
      <c r="B125" s="1">
        <f>'Raw Data'!B125</f>
        <v>45712</v>
      </c>
      <c r="C125" t="str">
        <f>IFERROR(INDEX('Reference Table'!$C$2:$C$46,MATCH(D125,'Reference Table'!$A$2:$A$46,0)),"Unknown")</f>
        <v>Electric Accessories</v>
      </c>
      <c r="D125" t="str">
        <f t="array" ref="D125">IF(TRIM('Raw Data'!D125)&lt;&gt;"",TRIM('Raw Data'!D125),IFERROR(INDEX('Reference Table'!$A$2:$A$46,MATCH(VALUE('Raw Data'!E125),VALUE('Reference Table'!$B$2:$B$46),0)),"Unknown"))</f>
        <v>Elec_Batteries_4pk</v>
      </c>
      <c r="E125">
        <f>IF('Raw Data'!E125&lt;&gt;"",'Raw Data'!E125,IFERROR(INDEX('Reference Table'!$B$2:$B$32,MATCH(D125,'Reference Table'!$A$2:$A$32,0)),""))</f>
        <v>90</v>
      </c>
      <c r="F125">
        <f>IF('Raw Data'!F125&lt;&gt;"",'Raw Data'!F125,IFERROR(ROUND('Raw Data'!G125/E125,0),""))</f>
        <v>6</v>
      </c>
      <c r="G125">
        <f>IF('Raw Data'!G125&lt;&gt;"",'Raw Data'!G125,IFERROR(ROUND(E125*F125,2),""))</f>
        <v>540</v>
      </c>
      <c r="H125" t="str">
        <f>'Raw Data'!H125</f>
        <v>Mobile Payment</v>
      </c>
      <c r="I125" t="str">
        <f>IF('Raw Data'!D125="",IF(D125="Unknown","Could not recover","Filled from Price lookup"),IF(TRIM('Raw Data'!D125)&lt;&gt;'Raw Data'!D125,"Trimmed whitespace","OK"))</f>
        <v>OK</v>
      </c>
      <c r="J125" t="str">
        <f t="shared" si="1"/>
        <v>OK</v>
      </c>
    </row>
    <row r="126" spans="1:10">
      <c r="A126" t="str">
        <f>'Raw Data'!A126</f>
        <v>TXN_1399</v>
      </c>
      <c r="B126" s="1">
        <f>'Raw Data'!B126</f>
        <v>45869</v>
      </c>
      <c r="C126" t="str">
        <f>IFERROR(INDEX('Reference Table'!$C$2:$C$46,MATCH(D126,'Reference Table'!$A$2:$A$46,0)),"Unknown")</f>
        <v>Furniture</v>
      </c>
      <c r="D126" t="str">
        <f t="array" ref="D126">IF(TRIM('Raw Data'!D126)&lt;&gt;"",TRIM('Raw Data'!D126),IFERROR(INDEX('Reference Table'!$A$2:$A$46,MATCH(VALUE('Raw Data'!E126),VALUE('Reference Table'!$B$2:$B$46),0)),"Unknown"))</f>
        <v>Furn_Small_Table</v>
      </c>
      <c r="E126">
        <f>IF('Raw Data'!E126&lt;&gt;"",'Raw Data'!E126,IFERROR(INDEX('Reference Table'!$B$2:$B$32,MATCH(D126,'Reference Table'!$A$2:$A$32,0)),""))</f>
        <v>3200</v>
      </c>
      <c r="F126">
        <f>IF('Raw Data'!F126&lt;&gt;"",'Raw Data'!F126,IFERROR(ROUND('Raw Data'!G126/E126,0),""))</f>
        <v>1</v>
      </c>
      <c r="G126">
        <f>IF('Raw Data'!G126&lt;&gt;"",'Raw Data'!G126,IFERROR(ROUND(E126*F126,2),""))</f>
        <v>3200</v>
      </c>
      <c r="H126" t="str">
        <f>'Raw Data'!H126</f>
        <v>Cash</v>
      </c>
      <c r="I126" t="str">
        <f>IF('Raw Data'!D126="",IF(D126="Unknown","Could not recover","Filled from Price lookup"),IF(TRIM('Raw Data'!D126)&lt;&gt;'Raw Data'!D126,"Trimmed whitespace","OK"))</f>
        <v>Filled from Price lookup</v>
      </c>
      <c r="J126" t="str">
        <f t="shared" si="1"/>
        <v>OK</v>
      </c>
    </row>
    <row r="127" spans="1:10">
      <c r="A127" t="str">
        <f>'Raw Data'!A127</f>
        <v>TXN_1025</v>
      </c>
      <c r="B127" s="1">
        <f>'Raw Data'!B127</f>
        <v>45674</v>
      </c>
      <c r="C127" t="str">
        <f>IFERROR(INDEX('Reference Table'!$C$2:$C$46,MATCH(D127,'Reference Table'!$A$2:$A$46,0)),"Unknown")</f>
        <v>Electric Accessories</v>
      </c>
      <c r="D127" t="str">
        <f t="array" ref="D127">IF(TRIM('Raw Data'!D127)&lt;&gt;"",TRIM('Raw Data'!D127),IFERROR(INDEX('Reference Table'!$A$2:$A$46,MATCH(VALUE('Raw Data'!E127),VALUE('Reference Table'!$B$2:$B$46),0)),"Unknown"))</f>
        <v>Elec_Earphones</v>
      </c>
      <c r="E127">
        <f>IF('Raw Data'!E127&lt;&gt;"",'Raw Data'!E127,IFERROR(INDEX('Reference Table'!$B$2:$B$32,MATCH(D127,'Reference Table'!$A$2:$A$32,0)),""))</f>
        <v>350</v>
      </c>
      <c r="F127">
        <f>IF('Raw Data'!F127&lt;&gt;"",'Raw Data'!F127,IFERROR(ROUND('Raw Data'!G127/E127,0),""))</f>
        <v>5</v>
      </c>
      <c r="G127">
        <f>IF('Raw Data'!G127&lt;&gt;"",'Raw Data'!G127,IFERROR(ROUND(E127*F127,2),""))</f>
        <v>1750</v>
      </c>
      <c r="H127" t="str">
        <f>'Raw Data'!H127</f>
        <v>Mobile Payment</v>
      </c>
      <c r="I127" t="str">
        <f>IF('Raw Data'!D127="",IF(D127="Unknown","Could not recover","Filled from Price lookup"),IF(TRIM('Raw Data'!D127)&lt;&gt;'Raw Data'!D127,"Trimmed whitespace","OK"))</f>
        <v>OK</v>
      </c>
      <c r="J127" t="str">
        <f t="shared" si="1"/>
        <v>OK</v>
      </c>
    </row>
    <row r="128" spans="1:10">
      <c r="A128" t="str">
        <f>'Raw Data'!A128</f>
        <v>TXN_1588</v>
      </c>
      <c r="B128" s="1">
        <f>'Raw Data'!B128</f>
        <v>45767</v>
      </c>
      <c r="C128" t="str">
        <f>IFERROR(INDEX('Reference Table'!$C$2:$C$46,MATCH(D128,'Reference Table'!$A$2:$A$46,0)),"Unknown")</f>
        <v>Butchers</v>
      </c>
      <c r="D128" t="str">
        <f t="array" ref="D128">IF(TRIM('Raw Data'!D128)&lt;&gt;"",TRIM('Raw Data'!D128),IFERROR(INDEX('Reference Table'!$A$2:$A$46,MATCH(VALUE('Raw Data'!E128),VALUE('Reference Table'!$B$2:$B$46),0)),"Unknown"))</f>
        <v>Meat_Mutton_1kg</v>
      </c>
      <c r="E128">
        <f>IF('Raw Data'!E128&lt;&gt;"",'Raw Data'!E128,IFERROR(INDEX('Reference Table'!$B$2:$B$32,MATCH(D128,'Reference Table'!$A$2:$A$32,0)),""))</f>
        <v>650</v>
      </c>
      <c r="F128">
        <f>IF('Raw Data'!F128&lt;&gt;"",'Raw Data'!F128,IFERROR(ROUND('Raw Data'!G128/E128,0),""))</f>
        <v>5</v>
      </c>
      <c r="G128">
        <f>IF('Raw Data'!G128&lt;&gt;"",'Raw Data'!G128,IFERROR(ROUND(E128*F128,2),""))</f>
        <v>3250</v>
      </c>
      <c r="H128" t="str">
        <f>'Raw Data'!H128</f>
        <v>Mobile Payment</v>
      </c>
      <c r="I128" t="str">
        <f>IF('Raw Data'!D128="",IF(D128="Unknown","Could not recover","Filled from Price lookup"),IF(TRIM('Raw Data'!D128)&lt;&gt;'Raw Data'!D128,"Trimmed whitespace","OK"))</f>
        <v>OK</v>
      </c>
      <c r="J128" t="str">
        <f t="shared" si="1"/>
        <v>OK</v>
      </c>
    </row>
    <row r="129" spans="1:10">
      <c r="A129" t="str">
        <f>'Raw Data'!A129</f>
        <v>TXN_1192</v>
      </c>
      <c r="B129" s="1">
        <f>'Raw Data'!B129</f>
        <v>45782</v>
      </c>
      <c r="C129" t="str">
        <f>IFERROR(INDEX('Reference Table'!$C$2:$C$46,MATCH(D129,'Reference Table'!$A$2:$A$46,0)),"Unknown")</f>
        <v>Patisserie</v>
      </c>
      <c r="D129" t="str">
        <f t="array" ref="D129">IF(TRIM('Raw Data'!D129)&lt;&gt;"",TRIM('Raw Data'!D129),IFERROR(INDEX('Reference Table'!$A$2:$A$46,MATCH(VALUE('Raw Data'!E129),VALUE('Reference Table'!$B$2:$B$46),0)),"Unknown"))</f>
        <v>Pat_Cake_Slice</v>
      </c>
      <c r="E129">
        <f>IF('Raw Data'!E129&lt;&gt;"",'Raw Data'!E129,IFERROR(INDEX('Reference Table'!$B$2:$B$32,MATCH(D129,'Reference Table'!$A$2:$A$32,0)),""))</f>
        <v>90</v>
      </c>
      <c r="F129">
        <f>IF('Raw Data'!F129&lt;&gt;"",'Raw Data'!F129,IFERROR(ROUND('Raw Data'!G129/E129,0),""))</f>
        <v>6</v>
      </c>
      <c r="G129">
        <f>IF('Raw Data'!G129&lt;&gt;"",'Raw Data'!G129,IFERROR(ROUND(E129*F129,2),""))</f>
        <v>540</v>
      </c>
      <c r="H129" t="str">
        <f>'Raw Data'!H129</f>
        <v>Cash</v>
      </c>
      <c r="I129" t="str">
        <f>IF('Raw Data'!D129="",IF(D129="Unknown","Could not recover","Filled from Price lookup"),IF(TRIM('Raw Data'!D129)&lt;&gt;'Raw Data'!D129,"Trimmed whitespace","OK"))</f>
        <v>Filled from Price lookup</v>
      </c>
      <c r="J129" t="str">
        <f t="shared" si="1"/>
        <v>OK</v>
      </c>
    </row>
    <row r="130" spans="1:10">
      <c r="A130" t="str">
        <f>'Raw Data'!A130</f>
        <v>TXN_1180</v>
      </c>
      <c r="B130" s="1">
        <f>'Raw Data'!B130</f>
        <v>45846</v>
      </c>
      <c r="C130" t="str">
        <f>IFERROR(INDEX('Reference Table'!$C$2:$C$46,MATCH(D130,'Reference Table'!$A$2:$A$46,0)),"Unknown")</f>
        <v>Beverages</v>
      </c>
      <c r="D130" t="str">
        <f t="array" ref="D130">IF(TRIM('Raw Data'!D130)&lt;&gt;"",TRIM('Raw Data'!D130),IFERROR(INDEX('Reference Table'!$A$2:$A$46,MATCH(VALUE('Raw Data'!E130),VALUE('Reference Table'!$B$2:$B$46),0)),"Unknown"))</f>
        <v>Bev_Water_1L</v>
      </c>
      <c r="E130">
        <f>IF('Raw Data'!E130&lt;&gt;"",'Raw Data'!E130,IFERROR(INDEX('Reference Table'!$B$2:$B$32,MATCH(D130,'Reference Table'!$A$2:$A$32,0)),""))</f>
        <v>20</v>
      </c>
      <c r="F130">
        <f>IF('Raw Data'!F130&lt;&gt;"",'Raw Data'!F130,IFERROR(ROUND('Raw Data'!G130/E130,0),""))</f>
        <v>4</v>
      </c>
      <c r="G130">
        <f>IF('Raw Data'!G130&lt;&gt;"",'Raw Data'!G130,IFERROR(ROUND(E130*F130,2),""))</f>
        <v>80</v>
      </c>
      <c r="H130" t="str">
        <f>'Raw Data'!H130</f>
        <v>Debit Card</v>
      </c>
      <c r="I130" t="str">
        <f>IF('Raw Data'!D130="",IF(D130="Unknown","Could not recover","Filled from Price lookup"),IF(TRIM('Raw Data'!D130)&lt;&gt;'Raw Data'!D130,"Trimmed whitespace","OK"))</f>
        <v>OK</v>
      </c>
      <c r="J130" t="str">
        <f t="shared" si="1"/>
        <v>OK</v>
      </c>
    </row>
    <row r="131" spans="1:10">
      <c r="A131" t="str">
        <f>'Raw Data'!A131</f>
        <v>TXN_1551</v>
      </c>
      <c r="B131" s="1">
        <f>'Raw Data'!B131</f>
        <v>45736</v>
      </c>
      <c r="C131" t="str">
        <f>IFERROR(INDEX('Reference Table'!$C$2:$C$46,MATCH(D131,'Reference Table'!$A$2:$A$46,0)),"Unknown")</f>
        <v>Food</v>
      </c>
      <c r="D131" t="str">
        <f t="array" ref="D131">IF(TRIM('Raw Data'!D131)&lt;&gt;"",TRIM('Raw Data'!D131),IFERROR(INDEX('Reference Table'!$A$2:$A$46,MATCH(VALUE('Raw Data'!E131),VALUE('Reference Table'!$B$2:$B$46),0)),"Unknown"))</f>
        <v>Food_Rice_1kg</v>
      </c>
      <c r="E131">
        <f>IF('Raw Data'!E131&lt;&gt;"",'Raw Data'!E131,IFERROR(INDEX('Reference Table'!$B$2:$B$32,MATCH(D131,'Reference Table'!$A$2:$A$32,0)),""))</f>
        <v>70</v>
      </c>
      <c r="F131">
        <f>IF('Raw Data'!F131&lt;&gt;"",'Raw Data'!F131,IFERROR(ROUND('Raw Data'!G131/E131,0),""))</f>
        <v>1</v>
      </c>
      <c r="G131">
        <f>IF('Raw Data'!G131&lt;&gt;"",'Raw Data'!G131,IFERROR(ROUND(E131*F131,2),""))</f>
        <v>105</v>
      </c>
      <c r="H131" t="str">
        <f>'Raw Data'!H131</f>
        <v>Mobile Payment</v>
      </c>
      <c r="I131" t="str">
        <f>IF('Raw Data'!D131="",IF(D131="Unknown","Could not recover","Filled from Price lookup"),IF(TRIM('Raw Data'!D131)&lt;&gt;'Raw Data'!D131,"Trimmed whitespace","OK"))</f>
        <v>OK</v>
      </c>
      <c r="J131" t="str">
        <f t="shared" ref="J131:J194" si="2">IF(AND(E131&lt;&gt;"",F131&lt;&gt;"",G131&lt;&gt;""),IF(ROUND(E131*F131,2)=ROUND(G131,2),"OK","Mismatch"),"Incomplete")</f>
        <v>Mismatch</v>
      </c>
    </row>
    <row r="132" spans="1:10">
      <c r="A132" t="str">
        <f>'Raw Data'!A132</f>
        <v>TXN_1429</v>
      </c>
      <c r="B132" s="1">
        <f>'Raw Data'!B132</f>
        <v>45779</v>
      </c>
      <c r="C132" t="str">
        <f>IFERROR(INDEX('Reference Table'!$C$2:$C$46,MATCH(D132,'Reference Table'!$A$2:$A$46,0)),"Unknown")</f>
        <v>Beverages</v>
      </c>
      <c r="D132" t="str">
        <f t="array" ref="D132">IF(TRIM('Raw Data'!D132)&lt;&gt;"",TRIM('Raw Data'!D132),IFERROR(INDEX('Reference Table'!$A$2:$A$46,MATCH(VALUE('Raw Data'!E132),VALUE('Reference Table'!$B$2:$B$46),0)),"Unknown"))</f>
        <v>Bev_Juice_500ml</v>
      </c>
      <c r="E132">
        <f>IF('Raw Data'!E132&lt;&gt;"",'Raw Data'!E132,IFERROR(INDEX('Reference Table'!$B$2:$B$32,MATCH(D132,'Reference Table'!$A$2:$A$32,0)),""))</f>
        <v>45</v>
      </c>
      <c r="F132">
        <f>IF('Raw Data'!F132&lt;&gt;"",'Raw Data'!F132,IFERROR(ROUND('Raw Data'!G132/E132,0),""))</f>
        <v>5</v>
      </c>
      <c r="G132">
        <f>IF('Raw Data'!G132&lt;&gt;"",'Raw Data'!G132,IFERROR(ROUND(E132*F132,2),""))</f>
        <v>225</v>
      </c>
      <c r="H132" t="str">
        <f>'Raw Data'!H132</f>
        <v>Debit Card</v>
      </c>
      <c r="I132" t="str">
        <f>IF('Raw Data'!D132="",IF(D132="Unknown","Could not recover","Filled from Price lookup"),IF(TRIM('Raw Data'!D132)&lt;&gt;'Raw Data'!D132,"Trimmed whitespace","OK"))</f>
        <v>OK</v>
      </c>
      <c r="J132" t="str">
        <f t="shared" si="2"/>
        <v>OK</v>
      </c>
    </row>
    <row r="133" spans="1:10">
      <c r="A133" t="str">
        <f>'Raw Data'!A133</f>
        <v>TXN_1381</v>
      </c>
      <c r="B133" s="1">
        <f>'Raw Data'!B133</f>
        <v>45888</v>
      </c>
      <c r="C133" t="str">
        <f>IFERROR(INDEX('Reference Table'!$C$2:$C$46,MATCH(D133,'Reference Table'!$A$2:$A$46,0)),"Unknown")</f>
        <v>Electric Accessories</v>
      </c>
      <c r="D133" t="str">
        <f t="array" ref="D133">IF(TRIM('Raw Data'!D133)&lt;&gt;"",TRIM('Raw Data'!D133),IFERROR(INDEX('Reference Table'!$A$2:$A$46,MATCH(VALUE('Raw Data'!E133),VALUE('Reference Table'!$B$2:$B$46),0)),"Unknown"))</f>
        <v>Elec_Batteries_4pk</v>
      </c>
      <c r="E133">
        <f>IF('Raw Data'!E133&lt;&gt;"",'Raw Data'!E133,IFERROR(INDEX('Reference Table'!$B$2:$B$32,MATCH(D133,'Reference Table'!$A$2:$A$32,0)),""))</f>
        <v>90</v>
      </c>
      <c r="F133">
        <f>IF('Raw Data'!F133&lt;&gt;"",'Raw Data'!F133,IFERROR(ROUND('Raw Data'!G133/E133,0),""))</f>
        <v>2</v>
      </c>
      <c r="G133">
        <f>IF('Raw Data'!G133&lt;&gt;"",'Raw Data'!G133,IFERROR(ROUND(E133*F133,2),""))</f>
        <v>180</v>
      </c>
      <c r="H133" t="str">
        <f>'Raw Data'!H133</f>
        <v>Mobile Payment</v>
      </c>
      <c r="I133" t="str">
        <f>IF('Raw Data'!D133="",IF(D133="Unknown","Could not recover","Filled from Price lookup"),IF(TRIM('Raw Data'!D133)&lt;&gt;'Raw Data'!D133,"Trimmed whitespace","OK"))</f>
        <v>OK</v>
      </c>
      <c r="J133" t="str">
        <f t="shared" si="2"/>
        <v>OK</v>
      </c>
    </row>
    <row r="134" spans="1:10">
      <c r="A134" t="str">
        <f>'Raw Data'!A134</f>
        <v>TXN_1194</v>
      </c>
      <c r="B134" s="1">
        <f>'Raw Data'!B134</f>
        <v>45762</v>
      </c>
      <c r="C134" t="str">
        <f>IFERROR(INDEX('Reference Table'!$C$2:$C$46,MATCH(D134,'Reference Table'!$A$2:$A$46,0)),"Unknown")</f>
        <v>Beverages</v>
      </c>
      <c r="D134" t="str">
        <f t="array" ref="D134">IF(TRIM('Raw Data'!D134)&lt;&gt;"",TRIM('Raw Data'!D134),IFERROR(INDEX('Reference Table'!$A$2:$A$46,MATCH(VALUE('Raw Data'!E134),VALUE('Reference Table'!$B$2:$B$46),0)),"Unknown"))</f>
        <v>Bev_Cola_1L</v>
      </c>
      <c r="E134">
        <f>IF('Raw Data'!E134&lt;&gt;"",'Raw Data'!E134,IFERROR(INDEX('Reference Table'!$B$2:$B$32,MATCH(D134,'Reference Table'!$A$2:$A$32,0)),""))</f>
        <v>60</v>
      </c>
      <c r="F134">
        <f>IF('Raw Data'!F134&lt;&gt;"",'Raw Data'!F134,IFERROR(ROUND('Raw Data'!G134/E134,0),""))</f>
        <v>5</v>
      </c>
      <c r="G134">
        <f>IF('Raw Data'!G134&lt;&gt;"",'Raw Data'!G134,IFERROR(ROUND(E134*F134,2),""))</f>
        <v>300</v>
      </c>
      <c r="H134" t="str">
        <f>'Raw Data'!H134</f>
        <v>Cash</v>
      </c>
      <c r="I134" t="str">
        <f>IF('Raw Data'!D134="",IF(D134="Unknown","Could not recover","Filled from Price lookup"),IF(TRIM('Raw Data'!D134)&lt;&gt;'Raw Data'!D134,"Trimmed whitespace","OK"))</f>
        <v>OK</v>
      </c>
      <c r="J134" t="str">
        <f t="shared" si="2"/>
        <v>OK</v>
      </c>
    </row>
    <row r="135" spans="1:10">
      <c r="A135" t="str">
        <f>'Raw Data'!A135</f>
        <v>TXN_1430</v>
      </c>
      <c r="B135" s="1">
        <f>'Raw Data'!B135</f>
        <v>45716</v>
      </c>
      <c r="C135" t="str">
        <f>IFERROR(INDEX('Reference Table'!$C$2:$C$46,MATCH(D135,'Reference Table'!$A$2:$A$46,0)),"Unknown")</f>
        <v>Furniture</v>
      </c>
      <c r="D135" t="str">
        <f t="array" ref="D135">IF(TRIM('Raw Data'!D135)&lt;&gt;"",TRIM('Raw Data'!D135),IFERROR(INDEX('Reference Table'!$A$2:$A$46,MATCH(VALUE('Raw Data'!E135),VALUE('Reference Table'!$B$2:$B$46),0)),"Unknown"))</f>
        <v>Furn_Lamp</v>
      </c>
      <c r="E135">
        <f>IF('Raw Data'!E135&lt;&gt;"",'Raw Data'!E135,IFERROR(INDEX('Reference Table'!$B$2:$B$32,MATCH(D135,'Reference Table'!$A$2:$A$32,0)),""))</f>
        <v>700</v>
      </c>
      <c r="F135">
        <f>IF('Raw Data'!F135&lt;&gt;"",'Raw Data'!F135,IFERROR(ROUND('Raw Data'!G135/E135,0),""))</f>
        <v>5</v>
      </c>
      <c r="G135">
        <f>IF('Raw Data'!G135&lt;&gt;"",'Raw Data'!G135,IFERROR(ROUND(E135*F135,2),""))</f>
        <v>3500</v>
      </c>
      <c r="H135" t="str">
        <f>'Raw Data'!H135</f>
        <v>Cash</v>
      </c>
      <c r="I135" t="str">
        <f>IF('Raw Data'!D135="",IF(D135="Unknown","Could not recover","Filled from Price lookup"),IF(TRIM('Raw Data'!D135)&lt;&gt;'Raw Data'!D135,"Trimmed whitespace","OK"))</f>
        <v>OK</v>
      </c>
      <c r="J135" t="str">
        <f t="shared" si="2"/>
        <v>OK</v>
      </c>
    </row>
    <row r="136" spans="1:10">
      <c r="A136" t="str">
        <f>'Raw Data'!A136</f>
        <v>TXN_1473</v>
      </c>
      <c r="B136" s="1">
        <f>'Raw Data'!B136</f>
        <v>45870</v>
      </c>
      <c r="C136" t="str">
        <f>IFERROR(INDEX('Reference Table'!$C$2:$C$46,MATCH(D136,'Reference Table'!$A$2:$A$46,0)),"Unknown")</f>
        <v>Food</v>
      </c>
      <c r="D136" t="str">
        <f t="array" ref="D136">IF(TRIM('Raw Data'!D136)&lt;&gt;"",TRIM('Raw Data'!D136),IFERROR(INDEX('Reference Table'!$A$2:$A$46,MATCH(VALUE('Raw Data'!E136),VALUE('Reference Table'!$B$2:$B$46),0)),"Unknown"))</f>
        <v>Food_Pasta_500g</v>
      </c>
      <c r="E136">
        <f>IF('Raw Data'!E136&lt;&gt;"",'Raw Data'!E136,IFERROR(INDEX('Reference Table'!$B$2:$B$32,MATCH(D136,'Reference Table'!$A$2:$A$32,0)),""))</f>
        <v>65</v>
      </c>
      <c r="F136">
        <f>IF('Raw Data'!F136&lt;&gt;"",'Raw Data'!F136,IFERROR(ROUND('Raw Data'!G136/E136,0),""))</f>
        <v>1</v>
      </c>
      <c r="G136">
        <f>IF('Raw Data'!G136&lt;&gt;"",'Raw Data'!G136,IFERROR(ROUND(E136*F136,2),""))</f>
        <v>65</v>
      </c>
      <c r="H136" t="str">
        <f>'Raw Data'!H136</f>
        <v>Credit Card</v>
      </c>
      <c r="I136" t="str">
        <f>IF('Raw Data'!D136="",IF(D136="Unknown","Could not recover","Filled from Price lookup"),IF(TRIM('Raw Data'!D136)&lt;&gt;'Raw Data'!D136,"Trimmed whitespace","OK"))</f>
        <v>OK</v>
      </c>
      <c r="J136" t="str">
        <f t="shared" si="2"/>
        <v>OK</v>
      </c>
    </row>
    <row r="137" spans="1:10">
      <c r="A137" t="str">
        <f>'Raw Data'!A137</f>
        <v>TXN_1492</v>
      </c>
      <c r="B137" s="1">
        <f>'Raw Data'!B137</f>
        <v>45847</v>
      </c>
      <c r="C137" t="str">
        <f>IFERROR(INDEX('Reference Table'!$C$2:$C$46,MATCH(D137,'Reference Table'!$A$2:$A$46,0)),"Unknown")</f>
        <v>Beverages</v>
      </c>
      <c r="D137" t="str">
        <f t="array" ref="D137">IF(TRIM('Raw Data'!D137)&lt;&gt;"",TRIM('Raw Data'!D137),IFERROR(INDEX('Reference Table'!$A$2:$A$46,MATCH(VALUE('Raw Data'!E137),VALUE('Reference Table'!$B$2:$B$46),0)),"Unknown"))</f>
        <v>Bev_Coffee_200g</v>
      </c>
      <c r="E137">
        <f>IF('Raw Data'!E137&lt;&gt;"",'Raw Data'!E137,IFERROR(INDEX('Reference Table'!$B$2:$B$32,MATCH(D137,'Reference Table'!$A$2:$A$32,0)),""))</f>
        <v>180</v>
      </c>
      <c r="F137">
        <f>IF('Raw Data'!F137&lt;&gt;"",'Raw Data'!F137,IFERROR(ROUND('Raw Data'!G137/E137,0),""))</f>
        <v>2</v>
      </c>
      <c r="G137">
        <f>IF('Raw Data'!G137&lt;&gt;"",'Raw Data'!G137,IFERROR(ROUND(E137*F137,2),""))</f>
        <v>360</v>
      </c>
      <c r="H137" t="str">
        <f>'Raw Data'!H137</f>
        <v>Cash</v>
      </c>
      <c r="I137" t="str">
        <f>IF('Raw Data'!D137="",IF(D137="Unknown","Could not recover","Filled from Price lookup"),IF(TRIM('Raw Data'!D137)&lt;&gt;'Raw Data'!D137,"Trimmed whitespace","OK"))</f>
        <v>OK</v>
      </c>
      <c r="J137" t="str">
        <f t="shared" si="2"/>
        <v>OK</v>
      </c>
    </row>
    <row r="138" spans="1:10">
      <c r="A138" t="str">
        <f>'Raw Data'!A138</f>
        <v>TXN_1327</v>
      </c>
      <c r="B138" s="1">
        <f>'Raw Data'!B138</f>
        <v>45855</v>
      </c>
      <c r="C138" t="str">
        <f>IFERROR(INDEX('Reference Table'!$C$2:$C$46,MATCH(D138,'Reference Table'!$A$2:$A$46,0)),"Unknown")</f>
        <v>Milk Products</v>
      </c>
      <c r="D138" t="str">
        <f t="array" ref="D138">IF(TRIM('Raw Data'!D138)&lt;&gt;"",TRIM('Raw Data'!D138),IFERROR(INDEX('Reference Table'!$A$2:$A$46,MATCH(VALUE('Raw Data'!E138),VALUE('Reference Table'!$B$2:$B$46),0)),"Unknown"))</f>
        <v>Milk_Butter_500g</v>
      </c>
      <c r="E138">
        <f>IF('Raw Data'!E138&lt;&gt;"",'Raw Data'!E138,IFERROR(INDEX('Reference Table'!$B$2:$B$32,MATCH(D138,'Reference Table'!$A$2:$A$32,0)),""))</f>
        <v>250</v>
      </c>
      <c r="F138">
        <f>IF('Raw Data'!F138&lt;&gt;"",'Raw Data'!F138,IFERROR(ROUND('Raw Data'!G138/E138,0),""))</f>
        <v>6</v>
      </c>
      <c r="G138">
        <f>IF('Raw Data'!G138&lt;&gt;"",'Raw Data'!G138,IFERROR(ROUND(E138*F138,2),""))</f>
        <v>1500</v>
      </c>
      <c r="H138" t="str">
        <f>'Raw Data'!H138</f>
        <v>Credit Card</v>
      </c>
      <c r="I138" t="str">
        <f>IF('Raw Data'!D138="",IF(D138="Unknown","Could not recover","Filled from Price lookup"),IF(TRIM('Raw Data'!D138)&lt;&gt;'Raw Data'!D138,"Trimmed whitespace","OK"))</f>
        <v>OK</v>
      </c>
      <c r="J138" t="str">
        <f t="shared" si="2"/>
        <v>OK</v>
      </c>
    </row>
    <row r="139" spans="1:10">
      <c r="A139" t="str">
        <f>'Raw Data'!A139</f>
        <v>TXN_1213</v>
      </c>
      <c r="B139" s="1">
        <f>'Raw Data'!B139</f>
        <v>45838</v>
      </c>
      <c r="C139" t="str">
        <f>IFERROR(INDEX('Reference Table'!$C$2:$C$46,MATCH(D139,'Reference Table'!$A$2:$A$46,0)),"Unknown")</f>
        <v>Food</v>
      </c>
      <c r="D139" t="str">
        <f t="array" ref="D139">IF(TRIM('Raw Data'!D139)&lt;&gt;"",TRIM('Raw Data'!D139),IFERROR(INDEX('Reference Table'!$A$2:$A$46,MATCH(VALUE('Raw Data'!E139),VALUE('Reference Table'!$B$2:$B$46),0)),"Unknown"))</f>
        <v>Food_Wheat_1kg</v>
      </c>
      <c r="E139">
        <f>IF('Raw Data'!E139&lt;&gt;"",'Raw Data'!E139,IFERROR(INDEX('Reference Table'!$B$2:$B$32,MATCH(D139,'Reference Table'!$A$2:$A$32,0)),""))</f>
        <v>55</v>
      </c>
      <c r="F139">
        <f>IF('Raw Data'!F139&lt;&gt;"",'Raw Data'!F139,IFERROR(ROUND('Raw Data'!G139/E139,0),""))</f>
        <v>6</v>
      </c>
      <c r="G139">
        <f>IF('Raw Data'!G139&lt;&gt;"",'Raw Data'!G139,IFERROR(ROUND(E139*F139,2),""))</f>
        <v>330</v>
      </c>
      <c r="H139" t="str">
        <f>'Raw Data'!H139</f>
        <v>Cash</v>
      </c>
      <c r="I139" t="str">
        <f>IF('Raw Data'!D139="",IF(D139="Unknown","Could not recover","Filled from Price lookup"),IF(TRIM('Raw Data'!D139)&lt;&gt;'Raw Data'!D139,"Trimmed whitespace","OK"))</f>
        <v>Trimmed whitespace</v>
      </c>
      <c r="J139" t="str">
        <f t="shared" si="2"/>
        <v>OK</v>
      </c>
    </row>
    <row r="140" spans="1:10">
      <c r="A140" t="str">
        <f>'Raw Data'!A140</f>
        <v>TXN_1293</v>
      </c>
      <c r="B140" s="1">
        <f>'Raw Data'!B140</f>
        <v>45838</v>
      </c>
      <c r="C140" t="str">
        <f>IFERROR(INDEX('Reference Table'!$C$2:$C$46,MATCH(D140,'Reference Table'!$A$2:$A$46,0)),"Unknown")</f>
        <v>Butchers</v>
      </c>
      <c r="D140" t="str">
        <f t="array" ref="D140">IF(TRIM('Raw Data'!D140)&lt;&gt;"",TRIM('Raw Data'!D140),IFERROR(INDEX('Reference Table'!$A$2:$A$46,MATCH(VALUE('Raw Data'!E140),VALUE('Reference Table'!$B$2:$B$46),0)),"Unknown"))</f>
        <v>Meat_Bacon_250g</v>
      </c>
      <c r="E140">
        <f>IF('Raw Data'!E140&lt;&gt;"",'Raw Data'!E140,IFERROR(INDEX('Reference Table'!$B$2:$B$32,MATCH(D140,'Reference Table'!$A$2:$A$32,0)),""))</f>
        <v>190</v>
      </c>
      <c r="F140">
        <f>IF('Raw Data'!F140&lt;&gt;"",'Raw Data'!F140,IFERROR(ROUND('Raw Data'!G140/E140,0),""))</f>
        <v>5</v>
      </c>
      <c r="G140">
        <f>IF('Raw Data'!G140&lt;&gt;"",'Raw Data'!G140,IFERROR(ROUND(E140*F140,2),""))</f>
        <v>950</v>
      </c>
      <c r="H140" t="str">
        <f>'Raw Data'!H140</f>
        <v>Credit Card</v>
      </c>
      <c r="I140" t="str">
        <f>IF('Raw Data'!D140="",IF(D140="Unknown","Could not recover","Filled from Price lookup"),IF(TRIM('Raw Data'!D140)&lt;&gt;'Raw Data'!D140,"Trimmed whitespace","OK"))</f>
        <v>OK</v>
      </c>
      <c r="J140" t="str">
        <f t="shared" si="2"/>
        <v>OK</v>
      </c>
    </row>
    <row r="141" spans="1:10">
      <c r="A141" t="str">
        <f>'Raw Data'!A141</f>
        <v>TXN_1379</v>
      </c>
      <c r="B141" s="1">
        <f>'Raw Data'!B141</f>
        <v>45814</v>
      </c>
      <c r="C141" t="str">
        <f>IFERROR(INDEX('Reference Table'!$C$2:$C$46,MATCH(D141,'Reference Table'!$A$2:$A$46,0)),"Unknown")</f>
        <v>Electric Accessories</v>
      </c>
      <c r="D141" t="str">
        <f t="array" ref="D141">IF(TRIM('Raw Data'!D141)&lt;&gt;"",TRIM('Raw Data'!D141),IFERROR(INDEX('Reference Table'!$A$2:$A$46,MATCH(VALUE('Raw Data'!E141),VALUE('Reference Table'!$B$2:$B$46),0)),"Unknown"))</f>
        <v>Elec_Batteries_4pk</v>
      </c>
      <c r="E141">
        <f>IF('Raw Data'!E141&lt;&gt;"",'Raw Data'!E141,IFERROR(INDEX('Reference Table'!$B$2:$B$32,MATCH(D141,'Reference Table'!$A$2:$A$32,0)),""))</f>
        <v>90</v>
      </c>
      <c r="F141">
        <f>IF('Raw Data'!F141&lt;&gt;"",'Raw Data'!F141,IFERROR(ROUND('Raw Data'!G141/E141,0),""))</f>
        <v>2</v>
      </c>
      <c r="G141">
        <f>IF('Raw Data'!G141&lt;&gt;"",'Raw Data'!G141,IFERROR(ROUND(E141*F141,2),""))</f>
        <v>180</v>
      </c>
      <c r="H141" t="str">
        <f>'Raw Data'!H141</f>
        <v>Debit Card</v>
      </c>
      <c r="I141" t="str">
        <f>IF('Raw Data'!D141="",IF(D141="Unknown","Could not recover","Filled from Price lookup"),IF(TRIM('Raw Data'!D141)&lt;&gt;'Raw Data'!D141,"Trimmed whitespace","OK"))</f>
        <v>OK</v>
      </c>
      <c r="J141" t="str">
        <f t="shared" si="2"/>
        <v>OK</v>
      </c>
    </row>
    <row r="142" spans="1:10">
      <c r="A142" t="str">
        <f>'Raw Data'!A142</f>
        <v>TXN_1445</v>
      </c>
      <c r="B142" s="1">
        <f>'Raw Data'!B142</f>
        <v>45780</v>
      </c>
      <c r="C142" t="str">
        <f>IFERROR(INDEX('Reference Table'!$C$2:$C$46,MATCH(D142,'Reference Table'!$A$2:$A$46,0)),"Unknown")</f>
        <v>Patisserie</v>
      </c>
      <c r="D142" t="str">
        <f t="array" ref="D142">IF(TRIM('Raw Data'!D142)&lt;&gt;"",TRIM('Raw Data'!D142),IFERROR(INDEX('Reference Table'!$A$2:$A$46,MATCH(VALUE('Raw Data'!E142),VALUE('Reference Table'!$B$2:$B$46),0)),"Unknown"))</f>
        <v>Pat_Muffin</v>
      </c>
      <c r="E142">
        <f>IF('Raw Data'!E142&lt;&gt;"",'Raw Data'!E142,IFERROR(INDEX('Reference Table'!$B$2:$B$32,MATCH(D142,'Reference Table'!$A$2:$A$32,0)),""))</f>
        <v>35</v>
      </c>
      <c r="F142">
        <f>IF('Raw Data'!F142&lt;&gt;"",'Raw Data'!F142,IFERROR(ROUND('Raw Data'!G142/E142,0),""))</f>
        <v>6</v>
      </c>
      <c r="G142">
        <f>IF('Raw Data'!G142&lt;&gt;"",'Raw Data'!G142,IFERROR(ROUND(E142*F142,2),""))</f>
        <v>210</v>
      </c>
      <c r="H142" t="str">
        <f>'Raw Data'!H142</f>
        <v>Credit Card</v>
      </c>
      <c r="I142" t="str">
        <f>IF('Raw Data'!D142="",IF(D142="Unknown","Could not recover","Filled from Price lookup"),IF(TRIM('Raw Data'!D142)&lt;&gt;'Raw Data'!D142,"Trimmed whitespace","OK"))</f>
        <v>OK</v>
      </c>
      <c r="J142" t="str">
        <f t="shared" si="2"/>
        <v>OK</v>
      </c>
    </row>
    <row r="143" spans="1:10">
      <c r="A143" t="str">
        <f>'Raw Data'!A143</f>
        <v>TXN_1529</v>
      </c>
      <c r="B143" s="1">
        <f>'Raw Data'!B143</f>
        <v>45816</v>
      </c>
      <c r="C143" t="str">
        <f>IFERROR(INDEX('Reference Table'!$C$2:$C$46,MATCH(D143,'Reference Table'!$A$2:$A$46,0)),"Unknown")</f>
        <v>Patisserie</v>
      </c>
      <c r="D143" t="str">
        <f t="array" ref="D143">IF(TRIM('Raw Data'!D143)&lt;&gt;"",TRIM('Raw Data'!D143),IFERROR(INDEX('Reference Table'!$A$2:$A$46,MATCH(VALUE('Raw Data'!E143),VALUE('Reference Table'!$B$2:$B$46),0)),"Unknown"))</f>
        <v>Pat_Croissant</v>
      </c>
      <c r="E143">
        <f>IF('Raw Data'!E143&lt;&gt;"",'Raw Data'!E143,IFERROR(INDEX('Reference Table'!$B$2:$B$32,MATCH(D143,'Reference Table'!$A$2:$A$32,0)),""))</f>
        <v>40</v>
      </c>
      <c r="F143">
        <f>IF('Raw Data'!F143&lt;&gt;"",'Raw Data'!F143,IFERROR(ROUND('Raw Data'!G143/E143,0),""))</f>
        <v>2</v>
      </c>
      <c r="G143">
        <f>IF('Raw Data'!G143&lt;&gt;"",'Raw Data'!G143,IFERROR(ROUND(E143*F143,2),""))</f>
        <v>80</v>
      </c>
      <c r="H143" t="str">
        <f>'Raw Data'!H143</f>
        <v>Debit Card</v>
      </c>
      <c r="I143" t="str">
        <f>IF('Raw Data'!D143="",IF(D143="Unknown","Could not recover","Filled from Price lookup"),IF(TRIM('Raw Data'!D143)&lt;&gt;'Raw Data'!D143,"Trimmed whitespace","OK"))</f>
        <v>OK</v>
      </c>
      <c r="J143" t="str">
        <f t="shared" si="2"/>
        <v>OK</v>
      </c>
    </row>
    <row r="144" spans="1:10">
      <c r="A144" t="str">
        <f>'Raw Data'!A144</f>
        <v>TXN_1100</v>
      </c>
      <c r="B144" s="1">
        <f>'Raw Data'!B144</f>
        <v>45679</v>
      </c>
      <c r="C144" t="str">
        <f>IFERROR(INDEX('Reference Table'!$C$2:$C$46,MATCH(D144,'Reference Table'!$A$2:$A$46,0)),"Unknown")</f>
        <v>Milk Products</v>
      </c>
      <c r="D144" t="str">
        <f t="array" ref="D144">IF(TRIM('Raw Data'!D144)&lt;&gt;"",TRIM('Raw Data'!D144),IFERROR(INDEX('Reference Table'!$A$2:$A$46,MATCH(VALUE('Raw Data'!E144),VALUE('Reference Table'!$B$2:$B$46),0)),"Unknown"))</f>
        <v>Milk_Cheese_200g</v>
      </c>
      <c r="E144">
        <f>IF('Raw Data'!E144&lt;&gt;"",'Raw Data'!E144,IFERROR(INDEX('Reference Table'!$B$2:$B$32,MATCH(D144,'Reference Table'!$A$2:$A$32,0)),""))</f>
        <v>110</v>
      </c>
      <c r="F144">
        <f>IF('Raw Data'!F144&lt;&gt;"",'Raw Data'!F144,IFERROR(ROUND('Raw Data'!G144/E144,0),""))</f>
        <v>6</v>
      </c>
      <c r="G144">
        <f>IF('Raw Data'!G144&lt;&gt;"",'Raw Data'!G144,IFERROR(ROUND(E144*F144,2),""))</f>
        <v>660</v>
      </c>
      <c r="H144" t="str">
        <f>'Raw Data'!H144</f>
        <v>Debit Card</v>
      </c>
      <c r="I144" t="str">
        <f>IF('Raw Data'!D144="",IF(D144="Unknown","Could not recover","Filled from Price lookup"),IF(TRIM('Raw Data'!D144)&lt;&gt;'Raw Data'!D144,"Trimmed whitespace","OK"))</f>
        <v>OK</v>
      </c>
      <c r="J144" t="str">
        <f t="shared" si="2"/>
        <v>OK</v>
      </c>
    </row>
    <row r="145" spans="1:10">
      <c r="A145" t="str">
        <f>'Raw Data'!A145</f>
        <v>TXN_1446</v>
      </c>
      <c r="B145" s="1">
        <f>'Raw Data'!B145</f>
        <v>45896</v>
      </c>
      <c r="C145" t="str">
        <f>IFERROR(INDEX('Reference Table'!$C$2:$C$46,MATCH(D145,'Reference Table'!$A$2:$A$46,0)),"Unknown")</f>
        <v>Computers</v>
      </c>
      <c r="D145" t="str">
        <f t="array" ref="D145">IF(TRIM('Raw Data'!D145)&lt;&gt;"",TRIM('Raw Data'!D145),IFERROR(INDEX('Reference Table'!$A$2:$A$46,MATCH(VALUE('Raw Data'!E145),VALUE('Reference Table'!$B$2:$B$46),0)),"Unknown"))</f>
        <v>Comp_Webcam</v>
      </c>
      <c r="E145">
        <f>IF('Raw Data'!E145&lt;&gt;"",'Raw Data'!E145,IFERROR(INDEX('Reference Table'!$B$2:$B$32,MATCH(D145,'Reference Table'!$A$2:$A$32,0)),""))</f>
        <v>1200</v>
      </c>
      <c r="F145">
        <f>IF('Raw Data'!F145&lt;&gt;"",'Raw Data'!F145,IFERROR(ROUND('Raw Data'!G145/E145,0),""))</f>
        <v>3</v>
      </c>
      <c r="G145">
        <f>IF('Raw Data'!G145&lt;&gt;"",'Raw Data'!G145,IFERROR(ROUND(E145*F145,2),""))</f>
        <v>3600</v>
      </c>
      <c r="H145" t="str">
        <f>'Raw Data'!H145</f>
        <v>Debit Card</v>
      </c>
      <c r="I145" t="str">
        <f>IF('Raw Data'!D145="",IF(D145="Unknown","Could not recover","Filled from Price lookup"),IF(TRIM('Raw Data'!D145)&lt;&gt;'Raw Data'!D145,"Trimmed whitespace","OK"))</f>
        <v>OK</v>
      </c>
      <c r="J145" t="str">
        <f t="shared" si="2"/>
        <v>OK</v>
      </c>
    </row>
    <row r="146" spans="1:10">
      <c r="A146" t="str">
        <f>'Raw Data'!A146</f>
        <v>TXN_1535</v>
      </c>
      <c r="B146" s="1">
        <f>'Raw Data'!B146</f>
        <v>45858</v>
      </c>
      <c r="C146" t="str">
        <f>IFERROR(INDEX('Reference Table'!$C$2:$C$46,MATCH(D146,'Reference Table'!$A$2:$A$46,0)),"Unknown")</f>
        <v>Electric Accessories</v>
      </c>
      <c r="D146" t="str">
        <f t="array" ref="D146">IF(TRIM('Raw Data'!D146)&lt;&gt;"",TRIM('Raw Data'!D146),IFERROR(INDEX('Reference Table'!$A$2:$A$46,MATCH(VALUE('Raw Data'!E146),VALUE('Reference Table'!$B$2:$B$46),0)),"Unknown"))</f>
        <v>Elec_Earphones</v>
      </c>
      <c r="E146">
        <f>IF('Raw Data'!E146&lt;&gt;"",'Raw Data'!E146,IFERROR(INDEX('Reference Table'!$B$2:$B$32,MATCH(D146,'Reference Table'!$A$2:$A$32,0)),""))</f>
        <v>350</v>
      </c>
      <c r="F146">
        <f>IF('Raw Data'!F146&lt;&gt;"",'Raw Data'!F146,IFERROR(ROUND('Raw Data'!G146/E146,0),""))</f>
        <v>6</v>
      </c>
      <c r="G146">
        <f>IF('Raw Data'!G146&lt;&gt;"",'Raw Data'!G146,IFERROR(ROUND(E146*F146,2),""))</f>
        <v>2100</v>
      </c>
      <c r="H146" t="str">
        <f>'Raw Data'!H146</f>
        <v>Debit Card</v>
      </c>
      <c r="I146" t="str">
        <f>IF('Raw Data'!D146="",IF(D146="Unknown","Could not recover","Filled from Price lookup"),IF(TRIM('Raw Data'!D146)&lt;&gt;'Raw Data'!D146,"Trimmed whitespace","OK"))</f>
        <v>OK</v>
      </c>
      <c r="J146" t="str">
        <f t="shared" si="2"/>
        <v>OK</v>
      </c>
    </row>
    <row r="147" spans="1:10">
      <c r="A147" t="str">
        <f>'Raw Data'!A147</f>
        <v>TXN_1483</v>
      </c>
      <c r="B147" s="1">
        <f>'Raw Data'!B147</f>
        <v>45880</v>
      </c>
      <c r="C147" t="str">
        <f>IFERROR(INDEX('Reference Table'!$C$2:$C$46,MATCH(D147,'Reference Table'!$A$2:$A$46,0)),"Unknown")</f>
        <v>Butchers</v>
      </c>
      <c r="D147" t="str">
        <f t="array" ref="D147">IF(TRIM('Raw Data'!D147)&lt;&gt;"",TRIM('Raw Data'!D147),IFERROR(INDEX('Reference Table'!$A$2:$A$46,MATCH(VALUE('Raw Data'!E147),VALUE('Reference Table'!$B$2:$B$46),0)),"Unknown"))</f>
        <v>Meat_Bacon_250g</v>
      </c>
      <c r="E147">
        <f>IF('Raw Data'!E147&lt;&gt;"",'Raw Data'!E147,IFERROR(INDEX('Reference Table'!$B$2:$B$32,MATCH(D147,'Reference Table'!$A$2:$A$32,0)),""))</f>
        <v>190</v>
      </c>
      <c r="F147">
        <f>IF('Raw Data'!F147&lt;&gt;"",'Raw Data'!F147,IFERROR(ROUND('Raw Data'!G147/E147,0),""))</f>
        <v>4</v>
      </c>
      <c r="G147">
        <f>IF('Raw Data'!G147&lt;&gt;"",'Raw Data'!G147,IFERROR(ROUND(E147*F147,2),""))</f>
        <v>1140</v>
      </c>
      <c r="H147" t="str">
        <f>'Raw Data'!H147</f>
        <v>Mobile Payment</v>
      </c>
      <c r="I147" t="str">
        <f>IF('Raw Data'!D147="",IF(D147="Unknown","Could not recover","Filled from Price lookup"),IF(TRIM('Raw Data'!D147)&lt;&gt;'Raw Data'!D147,"Trimmed whitespace","OK"))</f>
        <v>OK</v>
      </c>
      <c r="J147" t="str">
        <f t="shared" si="2"/>
        <v>Mismatch</v>
      </c>
    </row>
    <row r="148" spans="1:10">
      <c r="A148" t="str">
        <f>'Raw Data'!A148</f>
        <v>TXN_1021</v>
      </c>
      <c r="B148" s="1">
        <f>'Raw Data'!B148</f>
        <v>45801</v>
      </c>
      <c r="C148" t="str">
        <f>IFERROR(INDEX('Reference Table'!$C$2:$C$46,MATCH(D148,'Reference Table'!$A$2:$A$46,0)),"Unknown")</f>
        <v>Patisserie</v>
      </c>
      <c r="D148" t="str">
        <f t="array" ref="D148">IF(TRIM('Raw Data'!D148)&lt;&gt;"",TRIM('Raw Data'!D148),IFERROR(INDEX('Reference Table'!$A$2:$A$46,MATCH(VALUE('Raw Data'!E148),VALUE('Reference Table'!$B$2:$B$46),0)),"Unknown"))</f>
        <v>Pat_Croissant</v>
      </c>
      <c r="E148">
        <f>IF('Raw Data'!E148&lt;&gt;"",'Raw Data'!E148,IFERROR(INDEX('Reference Table'!$B$2:$B$32,MATCH(D148,'Reference Table'!$A$2:$A$32,0)),""))</f>
        <v>40</v>
      </c>
      <c r="F148">
        <f>IF('Raw Data'!F148&lt;&gt;"",'Raw Data'!F148,IFERROR(ROUND('Raw Data'!G148/E148,0),""))</f>
        <v>6</v>
      </c>
      <c r="G148">
        <f>IF('Raw Data'!G148&lt;&gt;"",'Raw Data'!G148,IFERROR(ROUND(E148*F148,2),""))</f>
        <v>240</v>
      </c>
      <c r="H148" t="str">
        <f>'Raw Data'!H148</f>
        <v>Debit Card</v>
      </c>
      <c r="I148" t="str">
        <f>IF('Raw Data'!D148="",IF(D148="Unknown","Could not recover","Filled from Price lookup"),IF(TRIM('Raw Data'!D148)&lt;&gt;'Raw Data'!D148,"Trimmed whitespace","OK"))</f>
        <v>OK</v>
      </c>
      <c r="J148" t="str">
        <f t="shared" si="2"/>
        <v>OK</v>
      </c>
    </row>
    <row r="149" spans="1:10">
      <c r="A149" t="str">
        <f>'Raw Data'!A149</f>
        <v>TXN_1414</v>
      </c>
      <c r="B149" s="1">
        <f>'Raw Data'!B149</f>
        <v>45807</v>
      </c>
      <c r="C149" t="str">
        <f>IFERROR(INDEX('Reference Table'!$C$2:$C$46,MATCH(D149,'Reference Table'!$A$2:$A$46,0)),"Unknown")</f>
        <v>Patisserie</v>
      </c>
      <c r="D149" t="str">
        <f t="array" ref="D149">IF(TRIM('Raw Data'!D149)&lt;&gt;"",TRIM('Raw Data'!D149),IFERROR(INDEX('Reference Table'!$A$2:$A$46,MATCH(VALUE('Raw Data'!E149),VALUE('Reference Table'!$B$2:$B$46),0)),"Unknown"))</f>
        <v>Pat_Croissant</v>
      </c>
      <c r="E149">
        <f>IF('Raw Data'!E149&lt;&gt;"",'Raw Data'!E149,IFERROR(INDEX('Reference Table'!$B$2:$B$32,MATCH(D149,'Reference Table'!$A$2:$A$32,0)),""))</f>
        <v>40</v>
      </c>
      <c r="F149">
        <f>IF('Raw Data'!F149&lt;&gt;"",'Raw Data'!F149,IFERROR(ROUND('Raw Data'!G149/E149,0),""))</f>
        <v>2</v>
      </c>
      <c r="G149">
        <f>IF('Raw Data'!G149&lt;&gt;"",'Raw Data'!G149,IFERROR(ROUND(E149*F149,2),""))</f>
        <v>80</v>
      </c>
      <c r="H149" t="str">
        <f>'Raw Data'!H149</f>
        <v>Debit Card</v>
      </c>
      <c r="I149" t="str">
        <f>IF('Raw Data'!D149="",IF(D149="Unknown","Could not recover","Filled from Price lookup"),IF(TRIM('Raw Data'!D149)&lt;&gt;'Raw Data'!D149,"Trimmed whitespace","OK"))</f>
        <v>Filled from Price lookup</v>
      </c>
      <c r="J149" t="str">
        <f t="shared" si="2"/>
        <v>OK</v>
      </c>
    </row>
    <row r="150" spans="1:10">
      <c r="A150" t="str">
        <f>'Raw Data'!A150</f>
        <v>TXN_1208</v>
      </c>
      <c r="B150" s="1">
        <f>'Raw Data'!B150</f>
        <v>45880</v>
      </c>
      <c r="C150" t="str">
        <f>IFERROR(INDEX('Reference Table'!$C$2:$C$46,MATCH(D150,'Reference Table'!$A$2:$A$46,0)),"Unknown")</f>
        <v>Food</v>
      </c>
      <c r="D150" t="str">
        <f t="array" ref="D150">IF(TRIM('Raw Data'!D150)&lt;&gt;"",TRIM('Raw Data'!D150),IFERROR(INDEX('Reference Table'!$A$2:$A$46,MATCH(VALUE('Raw Data'!E150),VALUE('Reference Table'!$B$2:$B$46),0)),"Unknown"))</f>
        <v>Food_Oats_1kg</v>
      </c>
      <c r="E150">
        <f>IF('Raw Data'!E150&lt;&gt;"",'Raw Data'!E150,IFERROR(INDEX('Reference Table'!$B$2:$B$32,MATCH(D150,'Reference Table'!$A$2:$A$32,0)),""))</f>
        <v>120</v>
      </c>
      <c r="F150">
        <f>IF('Raw Data'!F150&lt;&gt;"",'Raw Data'!F150,IFERROR(ROUND('Raw Data'!G150/E150,0),""))</f>
        <v>4</v>
      </c>
      <c r="G150">
        <f>IF('Raw Data'!G150&lt;&gt;"",'Raw Data'!G150,IFERROR(ROUND(E150*F150,2),""))</f>
        <v>480</v>
      </c>
      <c r="H150" t="str">
        <f>'Raw Data'!H150</f>
        <v>Credit Card</v>
      </c>
      <c r="I150" t="str">
        <f>IF('Raw Data'!D150="",IF(D150="Unknown","Could not recover","Filled from Price lookup"),IF(TRIM('Raw Data'!D150)&lt;&gt;'Raw Data'!D150,"Trimmed whitespace","OK"))</f>
        <v>Filled from Price lookup</v>
      </c>
      <c r="J150" t="str">
        <f t="shared" si="2"/>
        <v>OK</v>
      </c>
    </row>
    <row r="151" spans="1:10">
      <c r="A151" t="str">
        <f>'Raw Data'!A151</f>
        <v>TXN_1357</v>
      </c>
      <c r="B151" s="1">
        <f>'Raw Data'!B151</f>
        <v>45841</v>
      </c>
      <c r="C151" t="str">
        <f>IFERROR(INDEX('Reference Table'!$C$2:$C$46,MATCH(D151,'Reference Table'!$A$2:$A$46,0)),"Unknown")</f>
        <v>Electric Accessories</v>
      </c>
      <c r="D151" t="str">
        <f t="array" ref="D151">IF(TRIM('Raw Data'!D151)&lt;&gt;"",TRIM('Raw Data'!D151),IFERROR(INDEX('Reference Table'!$A$2:$A$46,MATCH(VALUE('Raw Data'!E151),VALUE('Reference Table'!$B$2:$B$46),0)),"Unknown"))</f>
        <v>Elec_Cable_USB</v>
      </c>
      <c r="E151">
        <f>IF('Raw Data'!E151&lt;&gt;"",'Raw Data'!E151,IFERROR(INDEX('Reference Table'!$B$2:$B$32,MATCH(D151,'Reference Table'!$A$2:$A$32,0)),""))</f>
        <v>150</v>
      </c>
      <c r="F151">
        <f>IF('Raw Data'!F151&lt;&gt;"",'Raw Data'!F151,IFERROR(ROUND('Raw Data'!G151/E151,0),""))</f>
        <v>1</v>
      </c>
      <c r="G151">
        <f>IF('Raw Data'!G151&lt;&gt;"",'Raw Data'!G151,IFERROR(ROUND(E151*F151,2),""))</f>
        <v>150</v>
      </c>
      <c r="H151" t="str">
        <f>'Raw Data'!H151</f>
        <v>Mobile Payment</v>
      </c>
      <c r="I151" t="str">
        <f>IF('Raw Data'!D151="",IF(D151="Unknown","Could not recover","Filled from Price lookup"),IF(TRIM('Raw Data'!D151)&lt;&gt;'Raw Data'!D151,"Trimmed whitespace","OK"))</f>
        <v>Filled from Price lookup</v>
      </c>
      <c r="J151" t="str">
        <f t="shared" si="2"/>
        <v>OK</v>
      </c>
    </row>
    <row r="152" spans="1:10">
      <c r="A152" t="str">
        <f>'Raw Data'!A152</f>
        <v>TXN_1133</v>
      </c>
      <c r="B152" s="1">
        <f>'Raw Data'!B152</f>
        <v>45813</v>
      </c>
      <c r="C152" t="str">
        <f>IFERROR(INDEX('Reference Table'!$C$2:$C$46,MATCH(D152,'Reference Table'!$A$2:$A$46,0)),"Unknown")</f>
        <v>Butchers</v>
      </c>
      <c r="D152" t="str">
        <f t="array" ref="D152">IF(TRIM('Raw Data'!D152)&lt;&gt;"",TRIM('Raw Data'!D152),IFERROR(INDEX('Reference Table'!$A$2:$A$46,MATCH(VALUE('Raw Data'!E152),VALUE('Reference Table'!$B$2:$B$46),0)),"Unknown"))</f>
        <v>Meat_Eggs_Dozen</v>
      </c>
      <c r="E152">
        <f>IF('Raw Data'!E152&lt;&gt;"",'Raw Data'!E152,IFERROR(INDEX('Reference Table'!$B$2:$B$32,MATCH(D152,'Reference Table'!$A$2:$A$32,0)),""))</f>
        <v>75</v>
      </c>
      <c r="F152">
        <f>IF('Raw Data'!F152&lt;&gt;"",'Raw Data'!F152,IFERROR(ROUND('Raw Data'!G152/E152,0),""))</f>
        <v>2</v>
      </c>
      <c r="G152">
        <f>IF('Raw Data'!G152&lt;&gt;"",'Raw Data'!G152,IFERROR(ROUND(E152*F152,2),""))</f>
        <v>150</v>
      </c>
      <c r="H152" t="str">
        <f>'Raw Data'!H152</f>
        <v>Cash</v>
      </c>
      <c r="I152" t="str">
        <f>IF('Raw Data'!D152="",IF(D152="Unknown","Could not recover","Filled from Price lookup"),IF(TRIM('Raw Data'!D152)&lt;&gt;'Raw Data'!D152,"Trimmed whitespace","OK"))</f>
        <v>OK</v>
      </c>
      <c r="J152" t="str">
        <f t="shared" si="2"/>
        <v>OK</v>
      </c>
    </row>
    <row r="153" spans="1:10">
      <c r="A153" t="str">
        <f>'Raw Data'!A153</f>
        <v>TXN_1272</v>
      </c>
      <c r="B153" s="1">
        <f>'Raw Data'!B153</f>
        <v>45800</v>
      </c>
      <c r="C153" t="str">
        <f>IFERROR(INDEX('Reference Table'!$C$2:$C$46,MATCH(D153,'Reference Table'!$A$2:$A$46,0)),"Unknown")</f>
        <v>Butchers</v>
      </c>
      <c r="D153" t="str">
        <f t="array" ref="D153">IF(TRIM('Raw Data'!D153)&lt;&gt;"",TRIM('Raw Data'!D153),IFERROR(INDEX('Reference Table'!$A$2:$A$46,MATCH(VALUE('Raw Data'!E153),VALUE('Reference Table'!$B$2:$B$46),0)),"Unknown"))</f>
        <v>Meat_Eggs_Dozen</v>
      </c>
      <c r="E153">
        <f>IF('Raw Data'!E153&lt;&gt;"",'Raw Data'!E153,IFERROR(INDEX('Reference Table'!$B$2:$B$32,MATCH(D153,'Reference Table'!$A$2:$A$32,0)),""))</f>
        <v>75</v>
      </c>
      <c r="F153">
        <f>IF('Raw Data'!F153&lt;&gt;"",'Raw Data'!F153,IFERROR(ROUND('Raw Data'!G153/E153,0),""))</f>
        <v>2</v>
      </c>
      <c r="G153">
        <f>IF('Raw Data'!G153&lt;&gt;"",'Raw Data'!G153,IFERROR(ROUND(E153*F153,2),""))</f>
        <v>150</v>
      </c>
      <c r="H153" t="str">
        <f>'Raw Data'!H153</f>
        <v>Cash</v>
      </c>
      <c r="I153" t="str">
        <f>IF('Raw Data'!D153="",IF(D153="Unknown","Could not recover","Filled from Price lookup"),IF(TRIM('Raw Data'!D153)&lt;&gt;'Raw Data'!D153,"Trimmed whitespace","OK"))</f>
        <v>OK</v>
      </c>
      <c r="J153" t="str">
        <f t="shared" si="2"/>
        <v>OK</v>
      </c>
    </row>
    <row r="154" spans="1:10">
      <c r="A154" t="str">
        <f>'Raw Data'!A154</f>
        <v>TXN_1294</v>
      </c>
      <c r="B154" s="1">
        <f>'Raw Data'!B154</f>
        <v>45759</v>
      </c>
      <c r="C154" t="str">
        <f>IFERROR(INDEX('Reference Table'!$C$2:$C$46,MATCH(D154,'Reference Table'!$A$2:$A$46,0)),"Unknown")</f>
        <v>Butchers</v>
      </c>
      <c r="D154" t="str">
        <f t="array" ref="D154">IF(TRIM('Raw Data'!D154)&lt;&gt;"",TRIM('Raw Data'!D154),IFERROR(INDEX('Reference Table'!$A$2:$A$46,MATCH(VALUE('Raw Data'!E154),VALUE('Reference Table'!$B$2:$B$46),0)),"Unknown"))</f>
        <v>Meat_Fish_1kg</v>
      </c>
      <c r="E154">
        <f>IF('Raw Data'!E154&lt;&gt;"",'Raw Data'!E154,IFERROR(INDEX('Reference Table'!$B$2:$B$32,MATCH(D154,'Reference Table'!$A$2:$A$32,0)),""))</f>
        <v>380</v>
      </c>
      <c r="F154">
        <f>IF('Raw Data'!F154&lt;&gt;"",'Raw Data'!F154,IFERROR(ROUND('Raw Data'!G154/E154,0),""))</f>
        <v>1</v>
      </c>
      <c r="G154">
        <f>IF('Raw Data'!G154&lt;&gt;"",'Raw Data'!G154,IFERROR(ROUND(E154*F154,2),""))</f>
        <v>380</v>
      </c>
      <c r="H154" t="str">
        <f>'Raw Data'!H154</f>
        <v>Cash</v>
      </c>
      <c r="I154" t="str">
        <f>IF('Raw Data'!D154="",IF(D154="Unknown","Could not recover","Filled from Price lookup"),IF(TRIM('Raw Data'!D154)&lt;&gt;'Raw Data'!D154,"Trimmed whitespace","OK"))</f>
        <v>Trimmed whitespace</v>
      </c>
      <c r="J154" t="str">
        <f t="shared" si="2"/>
        <v>OK</v>
      </c>
    </row>
    <row r="155" spans="1:10">
      <c r="A155" t="str">
        <f>'Raw Data'!A155</f>
        <v>TXN_1482</v>
      </c>
      <c r="B155" s="1">
        <f>'Raw Data'!B155</f>
        <v>45844</v>
      </c>
      <c r="C155" t="str">
        <f>IFERROR(INDEX('Reference Table'!$C$2:$C$46,MATCH(D155,'Reference Table'!$A$2:$A$46,0)),"Unknown")</f>
        <v>Food</v>
      </c>
      <c r="D155" t="str">
        <f t="array" ref="D155">IF(TRIM('Raw Data'!D155)&lt;&gt;"",TRIM('Raw Data'!D155),IFERROR(INDEX('Reference Table'!$A$2:$A$46,MATCH(VALUE('Raw Data'!E155),VALUE('Reference Table'!$B$2:$B$46),0)),"Unknown"))</f>
        <v>Food_Cereal_500g</v>
      </c>
      <c r="E155">
        <f>IF('Raw Data'!E155&lt;&gt;"",'Raw Data'!E155,IFERROR(INDEX('Reference Table'!$B$2:$B$32,MATCH(D155,'Reference Table'!$A$2:$A$32,0)),""))</f>
        <v>150</v>
      </c>
      <c r="F155">
        <f>IF('Raw Data'!F155&lt;&gt;"",'Raw Data'!F155,IFERROR(ROUND('Raw Data'!G155/E155,0),""))</f>
        <v>6</v>
      </c>
      <c r="G155">
        <f>IF('Raw Data'!G155&lt;&gt;"",'Raw Data'!G155,IFERROR(ROUND(E155*F155,2),""))</f>
        <v>1350</v>
      </c>
      <c r="H155" t="str">
        <f>'Raw Data'!H155</f>
        <v>Mobile Payment</v>
      </c>
      <c r="I155" t="str">
        <f>IF('Raw Data'!D155="",IF(D155="Unknown","Could not recover","Filled from Price lookup"),IF(TRIM('Raw Data'!D155)&lt;&gt;'Raw Data'!D155,"Trimmed whitespace","OK"))</f>
        <v>OK</v>
      </c>
      <c r="J155" t="str">
        <f t="shared" si="2"/>
        <v>Mismatch</v>
      </c>
    </row>
    <row r="156" spans="1:10">
      <c r="A156" t="str">
        <f>'Raw Data'!A156</f>
        <v>TXN_1368</v>
      </c>
      <c r="B156" s="1">
        <f>'Raw Data'!B156</f>
        <v>45812</v>
      </c>
      <c r="C156" t="str">
        <f>IFERROR(INDEX('Reference Table'!$C$2:$C$46,MATCH(D156,'Reference Table'!$A$2:$A$46,0)),"Unknown")</f>
        <v>Patisserie</v>
      </c>
      <c r="D156" t="str">
        <f t="array" ref="D156">IF(TRIM('Raw Data'!D156)&lt;&gt;"",TRIM('Raw Data'!D156),IFERROR(INDEX('Reference Table'!$A$2:$A$46,MATCH(VALUE('Raw Data'!E156),VALUE('Reference Table'!$B$2:$B$46),0)),"Unknown"))</f>
        <v>Pat_Cookie_Pack</v>
      </c>
      <c r="E156" t="str">
        <f>IF('Raw Data'!E156&lt;&gt;"",'Raw Data'!E156,IFERROR(INDEX('Reference Table'!$B$2:$B$32,MATCH(D156,'Reference Table'!$A$2:$A$32,0)),""))</f>
        <v/>
      </c>
      <c r="F156">
        <f>IF('Raw Data'!F156&lt;&gt;"",'Raw Data'!F156,IFERROR(ROUND('Raw Data'!G156/E156,0),""))</f>
        <v>4</v>
      </c>
      <c r="G156">
        <f>IF('Raw Data'!G156&lt;&gt;"",'Raw Data'!G156,IFERROR(ROUND(E156*F156,2),""))</f>
        <v>220</v>
      </c>
      <c r="H156" t="str">
        <f>'Raw Data'!H156</f>
        <v>Mobile Payment</v>
      </c>
      <c r="I156" t="str">
        <f>IF('Raw Data'!D156="",IF(D156="Unknown","Could not recover","Filled from Price lookup"),IF(TRIM('Raw Data'!D156)&lt;&gt;'Raw Data'!D156,"Trimmed whitespace","OK"))</f>
        <v>OK</v>
      </c>
      <c r="J156" t="str">
        <f t="shared" si="2"/>
        <v>Incomplete</v>
      </c>
    </row>
    <row r="157" spans="1:10">
      <c r="A157" t="str">
        <f>'Raw Data'!A157</f>
        <v>TXN_1336</v>
      </c>
      <c r="B157" s="1">
        <f>'Raw Data'!B157</f>
        <v>45889</v>
      </c>
      <c r="C157" t="str">
        <f>IFERROR(INDEX('Reference Table'!$C$2:$C$46,MATCH(D157,'Reference Table'!$A$2:$A$46,0)),"Unknown")</f>
        <v>Patisserie</v>
      </c>
      <c r="D157" t="str">
        <f t="array" ref="D157">IF(TRIM('Raw Data'!D157)&lt;&gt;"",TRIM('Raw Data'!D157),IFERROR(INDEX('Reference Table'!$A$2:$A$46,MATCH(VALUE('Raw Data'!E157),VALUE('Reference Table'!$B$2:$B$46),0)),"Unknown"))</f>
        <v>Pat_Donut</v>
      </c>
      <c r="E157">
        <f>IF('Raw Data'!E157&lt;&gt;"",'Raw Data'!E157,IFERROR(INDEX('Reference Table'!$B$2:$B$32,MATCH(D157,'Reference Table'!$A$2:$A$32,0)),""))</f>
        <v>30</v>
      </c>
      <c r="F157">
        <f>IF('Raw Data'!F157&lt;&gt;"",'Raw Data'!F157,IFERROR(ROUND('Raw Data'!G157/E157,0),""))</f>
        <v>4</v>
      </c>
      <c r="G157">
        <f>IF('Raw Data'!G157&lt;&gt;"",'Raw Data'!G157,IFERROR(ROUND(E157*F157,2),""))</f>
        <v>120</v>
      </c>
      <c r="H157" t="str">
        <f>'Raw Data'!H157</f>
        <v>Credit Card</v>
      </c>
      <c r="I157" t="str">
        <f>IF('Raw Data'!D157="",IF(D157="Unknown","Could not recover","Filled from Price lookup"),IF(TRIM('Raw Data'!D157)&lt;&gt;'Raw Data'!D157,"Trimmed whitespace","OK"))</f>
        <v>OK</v>
      </c>
      <c r="J157" t="str">
        <f t="shared" si="2"/>
        <v>OK</v>
      </c>
    </row>
    <row r="158" spans="1:10">
      <c r="A158" t="str">
        <f>'Raw Data'!A158</f>
        <v>TXN_1467</v>
      </c>
      <c r="B158" s="1">
        <f>'Raw Data'!B158</f>
        <v>45698</v>
      </c>
      <c r="C158" t="str">
        <f>IFERROR(INDEX('Reference Table'!$C$2:$C$46,MATCH(D158,'Reference Table'!$A$2:$A$46,0)),"Unknown")</f>
        <v>Electric Accessories</v>
      </c>
      <c r="D158" t="str">
        <f t="array" ref="D158">IF(TRIM('Raw Data'!D158)&lt;&gt;"",TRIM('Raw Data'!D158),IFERROR(INDEX('Reference Table'!$A$2:$A$46,MATCH(VALUE('Raw Data'!E158),VALUE('Reference Table'!$B$2:$B$46),0)),"Unknown"))</f>
        <v>Elec_Powerbank</v>
      </c>
      <c r="E158">
        <f>IF('Raw Data'!E158&lt;&gt;"",'Raw Data'!E158,IFERROR(INDEX('Reference Table'!$B$2:$B$32,MATCH(D158,'Reference Table'!$A$2:$A$32,0)),""))</f>
        <v>900</v>
      </c>
      <c r="F158">
        <f>IF('Raw Data'!F158&lt;&gt;"",'Raw Data'!F158,IFERROR(ROUND('Raw Data'!G158/E158,0),""))</f>
        <v>3</v>
      </c>
      <c r="G158">
        <f>IF('Raw Data'!G158&lt;&gt;"",'Raw Data'!G158,IFERROR(ROUND(E158*F158,2),""))</f>
        <v>2700</v>
      </c>
      <c r="H158" t="str">
        <f>'Raw Data'!H158</f>
        <v>Mobile Payment</v>
      </c>
      <c r="I158" t="str">
        <f>IF('Raw Data'!D158="",IF(D158="Unknown","Could not recover","Filled from Price lookup"),IF(TRIM('Raw Data'!D158)&lt;&gt;'Raw Data'!D158,"Trimmed whitespace","OK"))</f>
        <v>OK</v>
      </c>
      <c r="J158" t="str">
        <f t="shared" si="2"/>
        <v>OK</v>
      </c>
    </row>
    <row r="159" spans="1:10">
      <c r="A159" t="str">
        <f>'Raw Data'!A159</f>
        <v>TXN_1395</v>
      </c>
      <c r="B159" s="1">
        <f>'Raw Data'!B159</f>
        <v>45820</v>
      </c>
      <c r="C159" t="str">
        <f>IFERROR(INDEX('Reference Table'!$C$2:$C$46,MATCH(D159,'Reference Table'!$A$2:$A$46,0)),"Unknown")</f>
        <v>Patisserie</v>
      </c>
      <c r="D159" t="str">
        <f t="array" ref="D159">IF(TRIM('Raw Data'!D159)&lt;&gt;"",TRIM('Raw Data'!D159),IFERROR(INDEX('Reference Table'!$A$2:$A$46,MATCH(VALUE('Raw Data'!E159),VALUE('Reference Table'!$B$2:$B$46),0)),"Unknown"))</f>
        <v>Pat_Muffin</v>
      </c>
      <c r="E159">
        <f>IF('Raw Data'!E159&lt;&gt;"",'Raw Data'!E159,IFERROR(INDEX('Reference Table'!$B$2:$B$32,MATCH(D159,'Reference Table'!$A$2:$A$32,0)),""))</f>
        <v>35</v>
      </c>
      <c r="F159">
        <f>IF('Raw Data'!F159&lt;&gt;"",'Raw Data'!F159,IFERROR(ROUND('Raw Data'!G159/E159,0),""))</f>
        <v>2</v>
      </c>
      <c r="G159">
        <f>IF('Raw Data'!G159&lt;&gt;"",'Raw Data'!G159,IFERROR(ROUND(E159*F159,2),""))</f>
        <v>70</v>
      </c>
      <c r="H159" t="str">
        <f>'Raw Data'!H159</f>
        <v>Debit Card</v>
      </c>
      <c r="I159" t="str">
        <f>IF('Raw Data'!D159="",IF(D159="Unknown","Could not recover","Filled from Price lookup"),IF(TRIM('Raw Data'!D159)&lt;&gt;'Raw Data'!D159,"Trimmed whitespace","OK"))</f>
        <v>OK</v>
      </c>
      <c r="J159" t="str">
        <f t="shared" si="2"/>
        <v>OK</v>
      </c>
    </row>
    <row r="160" spans="1:10">
      <c r="A160" t="str">
        <f>'Raw Data'!A160</f>
        <v>TXN_1218</v>
      </c>
      <c r="B160" s="1">
        <f>'Raw Data'!B160</f>
        <v>45891</v>
      </c>
      <c r="C160" t="str">
        <f>IFERROR(INDEX('Reference Table'!$C$2:$C$46,MATCH(D160,'Reference Table'!$A$2:$A$46,0)),"Unknown")</f>
        <v>Patisserie</v>
      </c>
      <c r="D160" t="str">
        <f t="array" ref="D160">IF(TRIM('Raw Data'!D160)&lt;&gt;"",TRIM('Raw Data'!D160),IFERROR(INDEX('Reference Table'!$A$2:$A$46,MATCH(VALUE('Raw Data'!E160),VALUE('Reference Table'!$B$2:$B$46),0)),"Unknown"))</f>
        <v>Pat_Croissant</v>
      </c>
      <c r="E160">
        <f>IF('Raw Data'!E160&lt;&gt;"",'Raw Data'!E160,IFERROR(INDEX('Reference Table'!$B$2:$B$32,MATCH(D160,'Reference Table'!$A$2:$A$32,0)),""))</f>
        <v>40</v>
      </c>
      <c r="F160">
        <f>IF('Raw Data'!F160&lt;&gt;"",'Raw Data'!F160,IFERROR(ROUND('Raw Data'!G160/E160,0),""))</f>
        <v>4</v>
      </c>
      <c r="G160">
        <f>IF('Raw Data'!G160&lt;&gt;"",'Raw Data'!G160,IFERROR(ROUND(E160*F160,2),""))</f>
        <v>160</v>
      </c>
      <c r="H160" t="str">
        <f>'Raw Data'!H160</f>
        <v>Credit Card</v>
      </c>
      <c r="I160" t="str">
        <f>IF('Raw Data'!D160="",IF(D160="Unknown","Could not recover","Filled from Price lookup"),IF(TRIM('Raw Data'!D160)&lt;&gt;'Raw Data'!D160,"Trimmed whitespace","OK"))</f>
        <v>OK</v>
      </c>
      <c r="J160" t="str">
        <f t="shared" si="2"/>
        <v>OK</v>
      </c>
    </row>
    <row r="161" spans="1:10">
      <c r="A161" t="str">
        <f>'Raw Data'!A161</f>
        <v>TXN_1266</v>
      </c>
      <c r="B161" s="1">
        <f>'Raw Data'!B161</f>
        <v>45861</v>
      </c>
      <c r="C161" t="str">
        <f>IFERROR(INDEX('Reference Table'!$C$2:$C$46,MATCH(D161,'Reference Table'!$A$2:$A$46,0)),"Unknown")</f>
        <v>Electric Accessories</v>
      </c>
      <c r="D161" t="str">
        <f t="array" ref="D161">IF(TRIM('Raw Data'!D161)&lt;&gt;"",TRIM('Raw Data'!D161),IFERROR(INDEX('Reference Table'!$A$2:$A$46,MATCH(VALUE('Raw Data'!E161),VALUE('Reference Table'!$B$2:$B$46),0)),"Unknown"))</f>
        <v>Elec_Earphones</v>
      </c>
      <c r="E161">
        <f>IF('Raw Data'!E161&lt;&gt;"",'Raw Data'!E161,IFERROR(INDEX('Reference Table'!$B$2:$B$32,MATCH(D161,'Reference Table'!$A$2:$A$32,0)),""))</f>
        <v>350</v>
      </c>
      <c r="F161">
        <f>IF('Raw Data'!F161&lt;&gt;"",'Raw Data'!F161,IFERROR(ROUND('Raw Data'!G161/E161,0),""))</f>
        <v>1</v>
      </c>
      <c r="G161">
        <f>IF('Raw Data'!G161&lt;&gt;"",'Raw Data'!G161,IFERROR(ROUND(E161*F161,2),""))</f>
        <v>350</v>
      </c>
      <c r="H161" t="str">
        <f>'Raw Data'!H161</f>
        <v>Cash</v>
      </c>
      <c r="I161" t="str">
        <f>IF('Raw Data'!D161="",IF(D161="Unknown","Could not recover","Filled from Price lookup"),IF(TRIM('Raw Data'!D161)&lt;&gt;'Raw Data'!D161,"Trimmed whitespace","OK"))</f>
        <v>OK</v>
      </c>
      <c r="J161" t="str">
        <f t="shared" si="2"/>
        <v>OK</v>
      </c>
    </row>
    <row r="162" spans="1:10">
      <c r="A162" t="str">
        <f>'Raw Data'!A162</f>
        <v>TXN_1534</v>
      </c>
      <c r="B162" s="1">
        <f>'Raw Data'!B162</f>
        <v>45701</v>
      </c>
      <c r="C162" t="str">
        <f>IFERROR(INDEX('Reference Table'!$C$2:$C$46,MATCH(D162,'Reference Table'!$A$2:$A$46,0)),"Unknown")</f>
        <v>Beverages</v>
      </c>
      <c r="D162" t="str">
        <f t="array" ref="D162">IF(TRIM('Raw Data'!D162)&lt;&gt;"",TRIM('Raw Data'!D162),IFERROR(INDEX('Reference Table'!$A$2:$A$46,MATCH(VALUE('Raw Data'!E162),VALUE('Reference Table'!$B$2:$B$46),0)),"Unknown"))</f>
        <v>Bev_Cola_1L</v>
      </c>
      <c r="E162">
        <f>IF('Raw Data'!E162&lt;&gt;"",'Raw Data'!E162,IFERROR(INDEX('Reference Table'!$B$2:$B$32,MATCH(D162,'Reference Table'!$A$2:$A$32,0)),""))</f>
        <v>60</v>
      </c>
      <c r="F162">
        <f>IF('Raw Data'!F162&lt;&gt;"",'Raw Data'!F162,IFERROR(ROUND('Raw Data'!G162/E162,0),""))</f>
        <v>6</v>
      </c>
      <c r="G162">
        <f>IF('Raw Data'!G162&lt;&gt;"",'Raw Data'!G162,IFERROR(ROUND(E162*F162,2),""))</f>
        <v>360</v>
      </c>
      <c r="H162" t="str">
        <f>'Raw Data'!H162</f>
        <v>Cash</v>
      </c>
      <c r="I162" t="str">
        <f>IF('Raw Data'!D162="",IF(D162="Unknown","Could not recover","Filled from Price lookup"),IF(TRIM('Raw Data'!D162)&lt;&gt;'Raw Data'!D162,"Trimmed whitespace","OK"))</f>
        <v>OK</v>
      </c>
      <c r="J162" t="str">
        <f t="shared" si="2"/>
        <v>OK</v>
      </c>
    </row>
    <row r="163" spans="1:10">
      <c r="A163" t="str">
        <f>'Raw Data'!A163</f>
        <v>TXN_1409</v>
      </c>
      <c r="B163" s="1">
        <f>'Raw Data'!B163</f>
        <v>45732</v>
      </c>
      <c r="C163" t="str">
        <f>IFERROR(INDEX('Reference Table'!$C$2:$C$46,MATCH(D163,'Reference Table'!$A$2:$A$46,0)),"Unknown")</f>
        <v>Food</v>
      </c>
      <c r="D163" t="str">
        <f t="array" ref="D163">IF(TRIM('Raw Data'!D163)&lt;&gt;"",TRIM('Raw Data'!D163),IFERROR(INDEX('Reference Table'!$A$2:$A$46,MATCH(VALUE('Raw Data'!E163),VALUE('Reference Table'!$B$2:$B$46),0)),"Unknown"))</f>
        <v>Food_Wheat_1kg</v>
      </c>
      <c r="E163">
        <f>IF('Raw Data'!E163&lt;&gt;"",'Raw Data'!E163,IFERROR(INDEX('Reference Table'!$B$2:$B$32,MATCH(D163,'Reference Table'!$A$2:$A$32,0)),""))</f>
        <v>55</v>
      </c>
      <c r="F163">
        <f>IF('Raw Data'!F163&lt;&gt;"",'Raw Data'!F163,IFERROR(ROUND('Raw Data'!G163/E163,0),""))</f>
        <v>1</v>
      </c>
      <c r="G163">
        <f>IF('Raw Data'!G163&lt;&gt;"",'Raw Data'!G163,IFERROR(ROUND(E163*F163,2),""))</f>
        <v>55</v>
      </c>
      <c r="H163" t="str">
        <f>'Raw Data'!H163</f>
        <v>Mobile Payment</v>
      </c>
      <c r="I163" t="str">
        <f>IF('Raw Data'!D163="",IF(D163="Unknown","Could not recover","Filled from Price lookup"),IF(TRIM('Raw Data'!D163)&lt;&gt;'Raw Data'!D163,"Trimmed whitespace","OK"))</f>
        <v>OK</v>
      </c>
      <c r="J163" t="str">
        <f t="shared" si="2"/>
        <v>OK</v>
      </c>
    </row>
    <row r="164" spans="1:10">
      <c r="A164" t="str">
        <f>'Raw Data'!A164</f>
        <v>TXN_1246</v>
      </c>
      <c r="B164" s="1">
        <f>'Raw Data'!B164</f>
        <v>45876</v>
      </c>
      <c r="C164" t="str">
        <f>IFERROR(INDEX('Reference Table'!$C$2:$C$46,MATCH(D164,'Reference Table'!$A$2:$A$46,0)),"Unknown")</f>
        <v>Patisserie</v>
      </c>
      <c r="D164" t="str">
        <f t="array" ref="D164">IF(TRIM('Raw Data'!D164)&lt;&gt;"",TRIM('Raw Data'!D164),IFERROR(INDEX('Reference Table'!$A$2:$A$46,MATCH(VALUE('Raw Data'!E164),VALUE('Reference Table'!$B$2:$B$46),0)),"Unknown"))</f>
        <v>Pat_Cake_Slice</v>
      </c>
      <c r="E164">
        <f>IF('Raw Data'!E164&lt;&gt;"",'Raw Data'!E164,IFERROR(INDEX('Reference Table'!$B$2:$B$32,MATCH(D164,'Reference Table'!$A$2:$A$32,0)),""))</f>
        <v>90</v>
      </c>
      <c r="F164">
        <f>IF('Raw Data'!F164&lt;&gt;"",'Raw Data'!F164,IFERROR(ROUND('Raw Data'!G164/E164,0),""))</f>
        <v>2</v>
      </c>
      <c r="G164">
        <f>IF('Raw Data'!G164&lt;&gt;"",'Raw Data'!G164,IFERROR(ROUND(E164*F164,2),""))</f>
        <v>180</v>
      </c>
      <c r="H164" t="str">
        <f>'Raw Data'!H164</f>
        <v>Debit Card</v>
      </c>
      <c r="I164" t="str">
        <f>IF('Raw Data'!D164="",IF(D164="Unknown","Could not recover","Filled from Price lookup"),IF(TRIM('Raw Data'!D164)&lt;&gt;'Raw Data'!D164,"Trimmed whitespace","OK"))</f>
        <v>Filled from Price lookup</v>
      </c>
      <c r="J164" t="str">
        <f t="shared" si="2"/>
        <v>OK</v>
      </c>
    </row>
    <row r="165" spans="1:10">
      <c r="A165" t="str">
        <f>'Raw Data'!A165</f>
        <v>TXN_1538</v>
      </c>
      <c r="B165" s="1">
        <f>'Raw Data'!B165</f>
        <v>45802</v>
      </c>
      <c r="C165" t="str">
        <f>IFERROR(INDEX('Reference Table'!$C$2:$C$46,MATCH(D165,'Reference Table'!$A$2:$A$46,0)),"Unknown")</f>
        <v>Patisserie</v>
      </c>
      <c r="D165" t="str">
        <f t="array" ref="D165">IF(TRIM('Raw Data'!D165)&lt;&gt;"",TRIM('Raw Data'!D165),IFERROR(INDEX('Reference Table'!$A$2:$A$46,MATCH(VALUE('Raw Data'!E165),VALUE('Reference Table'!$B$2:$B$46),0)),"Unknown"))</f>
        <v>Pat_Donut</v>
      </c>
      <c r="E165">
        <f>IF('Raw Data'!E165&lt;&gt;"",'Raw Data'!E165,IFERROR(INDEX('Reference Table'!$B$2:$B$32,MATCH(D165,'Reference Table'!$A$2:$A$32,0)),""))</f>
        <v>30</v>
      </c>
      <c r="F165">
        <f>IF('Raw Data'!F165&lt;&gt;"",'Raw Data'!F165,IFERROR(ROUND('Raw Data'!G165/E165,0),""))</f>
        <v>5</v>
      </c>
      <c r="G165">
        <f>IF('Raw Data'!G165&lt;&gt;"",'Raw Data'!G165,IFERROR(ROUND(E165*F165,2),""))</f>
        <v>150</v>
      </c>
      <c r="H165" t="str">
        <f>'Raw Data'!H165</f>
        <v>Cash</v>
      </c>
      <c r="I165" t="str">
        <f>IF('Raw Data'!D165="",IF(D165="Unknown","Could not recover","Filled from Price lookup"),IF(TRIM('Raw Data'!D165)&lt;&gt;'Raw Data'!D165,"Trimmed whitespace","OK"))</f>
        <v>OK</v>
      </c>
      <c r="J165" t="str">
        <f t="shared" si="2"/>
        <v>OK</v>
      </c>
    </row>
    <row r="166" spans="1:10">
      <c r="A166" t="str">
        <f>'Raw Data'!A166</f>
        <v>TXN_1485</v>
      </c>
      <c r="B166" s="1">
        <f>'Raw Data'!B166</f>
        <v>45793</v>
      </c>
      <c r="C166" t="str">
        <f>IFERROR(INDEX('Reference Table'!$C$2:$C$46,MATCH(D166,'Reference Table'!$A$2:$A$46,0)),"Unknown")</f>
        <v>Computers</v>
      </c>
      <c r="D166" t="str">
        <f t="array" ref="D166">IF(TRIM('Raw Data'!D166)&lt;&gt;"",TRIM('Raw Data'!D166),IFERROR(INDEX('Reference Table'!$A$2:$A$46,MATCH(VALUE('Raw Data'!E166),VALUE('Reference Table'!$B$2:$B$46),0)),"Unknown"))</f>
        <v>Comp_Webcam</v>
      </c>
      <c r="E166">
        <f>IF('Raw Data'!E166&lt;&gt;"",'Raw Data'!E166,IFERROR(INDEX('Reference Table'!$B$2:$B$32,MATCH(D166,'Reference Table'!$A$2:$A$32,0)),""))</f>
        <v>1200</v>
      </c>
      <c r="F166">
        <f>IF('Raw Data'!F166&lt;&gt;"",'Raw Data'!F166,IFERROR(ROUND('Raw Data'!G166/E166,0),""))</f>
        <v>4</v>
      </c>
      <c r="G166">
        <f>IF('Raw Data'!G166&lt;&gt;"",'Raw Data'!G166,IFERROR(ROUND(E166*F166,2),""))</f>
        <v>4800</v>
      </c>
      <c r="H166" t="str">
        <f>'Raw Data'!H166</f>
        <v>Credit Card</v>
      </c>
      <c r="I166" t="str">
        <f>IF('Raw Data'!D166="",IF(D166="Unknown","Could not recover","Filled from Price lookup"),IF(TRIM('Raw Data'!D166)&lt;&gt;'Raw Data'!D166,"Trimmed whitespace","OK"))</f>
        <v>OK</v>
      </c>
      <c r="J166" t="str">
        <f t="shared" si="2"/>
        <v>OK</v>
      </c>
    </row>
    <row r="167" spans="1:10">
      <c r="A167" t="str">
        <f>'Raw Data'!A167</f>
        <v>TXN_1237</v>
      </c>
      <c r="B167" s="1">
        <f>'Raw Data'!B167</f>
        <v>45755</v>
      </c>
      <c r="C167" t="str">
        <f>IFERROR(INDEX('Reference Table'!$C$2:$C$46,MATCH(D167,'Reference Table'!$A$2:$A$46,0)),"Unknown")</f>
        <v>Patisserie</v>
      </c>
      <c r="D167" t="str">
        <f t="array" ref="D167">IF(TRIM('Raw Data'!D167)&lt;&gt;"",TRIM('Raw Data'!D167),IFERROR(INDEX('Reference Table'!$A$2:$A$46,MATCH(VALUE('Raw Data'!E167),VALUE('Reference Table'!$B$2:$B$46),0)),"Unknown"))</f>
        <v>Pat_Muffin</v>
      </c>
      <c r="E167">
        <f>IF('Raw Data'!E167&lt;&gt;"",'Raw Data'!E167,IFERROR(INDEX('Reference Table'!$B$2:$B$32,MATCH(D167,'Reference Table'!$A$2:$A$32,0)),""))</f>
        <v>35</v>
      </c>
      <c r="F167">
        <f>IF('Raw Data'!F167&lt;&gt;"",'Raw Data'!F167,IFERROR(ROUND('Raw Data'!G167/E167,0),""))</f>
        <v>5</v>
      </c>
      <c r="G167">
        <f>IF('Raw Data'!G167&lt;&gt;"",'Raw Data'!G167,IFERROR(ROUND(E167*F167,2),""))</f>
        <v>175</v>
      </c>
      <c r="H167" t="str">
        <f>'Raw Data'!H167</f>
        <v>Debit Card</v>
      </c>
      <c r="I167" t="str">
        <f>IF('Raw Data'!D167="",IF(D167="Unknown","Could not recover","Filled from Price lookup"),IF(TRIM('Raw Data'!D167)&lt;&gt;'Raw Data'!D167,"Trimmed whitespace","OK"))</f>
        <v>Filled from Price lookup</v>
      </c>
      <c r="J167" t="str">
        <f t="shared" si="2"/>
        <v>OK</v>
      </c>
    </row>
    <row r="168" spans="1:10">
      <c r="A168" t="str">
        <f>'Raw Data'!A168</f>
        <v>TXN_1474</v>
      </c>
      <c r="B168" s="1">
        <f>'Raw Data'!B168</f>
        <v>45741</v>
      </c>
      <c r="C168" t="str">
        <f>IFERROR(INDEX('Reference Table'!$C$2:$C$46,MATCH(D168,'Reference Table'!$A$2:$A$46,0)),"Unknown")</f>
        <v>Food</v>
      </c>
      <c r="D168" t="str">
        <f t="array" ref="D168">IF(TRIM('Raw Data'!D168)&lt;&gt;"",TRIM('Raw Data'!D168),IFERROR(INDEX('Reference Table'!$A$2:$A$46,MATCH(VALUE('Raw Data'!E168),VALUE('Reference Table'!$B$2:$B$46),0)),"Unknown"))</f>
        <v>Food_Oats_1kg</v>
      </c>
      <c r="E168">
        <f>IF('Raw Data'!E168&lt;&gt;"",'Raw Data'!E168,IFERROR(INDEX('Reference Table'!$B$2:$B$32,MATCH(D168,'Reference Table'!$A$2:$A$32,0)),""))</f>
        <v>120</v>
      </c>
      <c r="F168">
        <f>IF('Raw Data'!F168&lt;&gt;"",'Raw Data'!F168,IFERROR(ROUND('Raw Data'!G168/E168,0),""))</f>
        <v>2</v>
      </c>
      <c r="G168">
        <f>IF('Raw Data'!G168&lt;&gt;"",'Raw Data'!G168,IFERROR(ROUND(E168*F168,2),""))</f>
        <v>240</v>
      </c>
      <c r="H168" t="str">
        <f>'Raw Data'!H168</f>
        <v>Mobile Payment</v>
      </c>
      <c r="I168" t="str">
        <f>IF('Raw Data'!D168="",IF(D168="Unknown","Could not recover","Filled from Price lookup"),IF(TRIM('Raw Data'!D168)&lt;&gt;'Raw Data'!D168,"Trimmed whitespace","OK"))</f>
        <v>Filled from Price lookup</v>
      </c>
      <c r="J168" t="str">
        <f t="shared" si="2"/>
        <v>OK</v>
      </c>
    </row>
    <row r="169" spans="1:10">
      <c r="A169" t="str">
        <f>'Raw Data'!A169</f>
        <v>TXN_1563</v>
      </c>
      <c r="B169" s="1">
        <f>'Raw Data'!B169</f>
        <v>45863</v>
      </c>
      <c r="C169" t="str">
        <f>IFERROR(INDEX('Reference Table'!$C$2:$C$46,MATCH(D169,'Reference Table'!$A$2:$A$46,0)),"Unknown")</f>
        <v>Furniture</v>
      </c>
      <c r="D169" t="str">
        <f t="array" ref="D169">IF(TRIM('Raw Data'!D169)&lt;&gt;"",TRIM('Raw Data'!D169),IFERROR(INDEX('Reference Table'!$A$2:$A$46,MATCH(VALUE('Raw Data'!E169),VALUE('Reference Table'!$B$2:$B$46),0)),"Unknown"))</f>
        <v>Furn_Cushion</v>
      </c>
      <c r="E169">
        <f>IF('Raw Data'!E169&lt;&gt;"",'Raw Data'!E169,IFERROR(INDEX('Reference Table'!$B$2:$B$32,MATCH(D169,'Reference Table'!$A$2:$A$32,0)),""))</f>
        <v>350</v>
      </c>
      <c r="F169">
        <f>IF('Raw Data'!F169&lt;&gt;"",'Raw Data'!F169,IFERROR(ROUND('Raw Data'!G169/E169,0),""))</f>
        <v>4</v>
      </c>
      <c r="G169">
        <f>IF('Raw Data'!G169&lt;&gt;"",'Raw Data'!G169,IFERROR(ROUND(E169*F169,2),""))</f>
        <v>1400</v>
      </c>
      <c r="H169" t="str">
        <f>'Raw Data'!H169</f>
        <v>Debit Card</v>
      </c>
      <c r="I169" t="str">
        <f>IF('Raw Data'!D169="",IF(D169="Unknown","Could not recover","Filled from Price lookup"),IF(TRIM('Raw Data'!D169)&lt;&gt;'Raw Data'!D169,"Trimmed whitespace","OK"))</f>
        <v>Trimmed whitespace</v>
      </c>
      <c r="J169" t="str">
        <f t="shared" si="2"/>
        <v>OK</v>
      </c>
    </row>
    <row r="170" spans="1:10">
      <c r="A170" t="str">
        <f>'Raw Data'!A170</f>
        <v>TXN_1392</v>
      </c>
      <c r="B170" s="1">
        <f>'Raw Data'!B170</f>
        <v>45786</v>
      </c>
      <c r="C170" t="str">
        <f>IFERROR(INDEX('Reference Table'!$C$2:$C$46,MATCH(D170,'Reference Table'!$A$2:$A$46,0)),"Unknown")</f>
        <v>Food</v>
      </c>
      <c r="D170" t="str">
        <f t="array" ref="D170">IF(TRIM('Raw Data'!D170)&lt;&gt;"",TRIM('Raw Data'!D170),IFERROR(INDEX('Reference Table'!$A$2:$A$46,MATCH(VALUE('Raw Data'!E170),VALUE('Reference Table'!$B$2:$B$46),0)),"Unknown"))</f>
        <v>Food_Cereal_500g</v>
      </c>
      <c r="E170">
        <f>IF('Raw Data'!E170&lt;&gt;"",'Raw Data'!E170,IFERROR(INDEX('Reference Table'!$B$2:$B$32,MATCH(D170,'Reference Table'!$A$2:$A$32,0)),""))</f>
        <v>150</v>
      </c>
      <c r="F170">
        <f>IF('Raw Data'!F170&lt;&gt;"",'Raw Data'!F170,IFERROR(ROUND('Raw Data'!G170/E170,0),""))</f>
        <v>4</v>
      </c>
      <c r="G170">
        <f>IF('Raw Data'!G170&lt;&gt;"",'Raw Data'!G170,IFERROR(ROUND(E170*F170,2),""))</f>
        <v>600</v>
      </c>
      <c r="H170" t="str">
        <f>'Raw Data'!H170</f>
        <v>Cash</v>
      </c>
      <c r="I170" t="str">
        <f>IF('Raw Data'!D170="",IF(D170="Unknown","Could not recover","Filled from Price lookup"),IF(TRIM('Raw Data'!D170)&lt;&gt;'Raw Data'!D170,"Trimmed whitespace","OK"))</f>
        <v>OK</v>
      </c>
      <c r="J170" t="str">
        <f t="shared" si="2"/>
        <v>OK</v>
      </c>
    </row>
    <row r="171" spans="1:10">
      <c r="A171" t="str">
        <f>'Raw Data'!A171</f>
        <v>TXN_1325</v>
      </c>
      <c r="B171" s="1">
        <f>'Raw Data'!B171</f>
        <v>45855</v>
      </c>
      <c r="C171" t="str">
        <f>IFERROR(INDEX('Reference Table'!$C$2:$C$46,MATCH(D171,'Reference Table'!$A$2:$A$46,0)),"Unknown")</f>
        <v>Food</v>
      </c>
      <c r="D171" t="str">
        <f t="array" ref="D171">IF(TRIM('Raw Data'!D171)&lt;&gt;"",TRIM('Raw Data'!D171),IFERROR(INDEX('Reference Table'!$A$2:$A$46,MATCH(VALUE('Raw Data'!E171),VALUE('Reference Table'!$B$2:$B$46),0)),"Unknown"))</f>
        <v>Food_Wheat_1kg</v>
      </c>
      <c r="E171">
        <f>IF('Raw Data'!E171&lt;&gt;"",'Raw Data'!E171,IFERROR(INDEX('Reference Table'!$B$2:$B$32,MATCH(D171,'Reference Table'!$A$2:$A$32,0)),""))</f>
        <v>55</v>
      </c>
      <c r="F171">
        <f>IF('Raw Data'!F171&lt;&gt;"",'Raw Data'!F171,IFERROR(ROUND('Raw Data'!G171/E171,0),""))</f>
        <v>5</v>
      </c>
      <c r="G171">
        <f>IF('Raw Data'!G171&lt;&gt;"",'Raw Data'!G171,IFERROR(ROUND(E171*F171,2),""))</f>
        <v>275</v>
      </c>
      <c r="H171" t="str">
        <f>'Raw Data'!H171</f>
        <v>Cash</v>
      </c>
      <c r="I171" t="str">
        <f>IF('Raw Data'!D171="",IF(D171="Unknown","Could not recover","Filled from Price lookup"),IF(TRIM('Raw Data'!D171)&lt;&gt;'Raw Data'!D171,"Trimmed whitespace","OK"))</f>
        <v>OK</v>
      </c>
      <c r="J171" t="str">
        <f t="shared" si="2"/>
        <v>OK</v>
      </c>
    </row>
    <row r="172" spans="1:10">
      <c r="A172" t="str">
        <f>'Raw Data'!A172</f>
        <v>TXN_1539</v>
      </c>
      <c r="B172" s="1">
        <f>'Raw Data'!B172</f>
        <v>45711</v>
      </c>
      <c r="C172" t="str">
        <f>IFERROR(INDEX('Reference Table'!$C$2:$C$46,MATCH(D172,'Reference Table'!$A$2:$A$46,0)),"Unknown")</f>
        <v>Butchers</v>
      </c>
      <c r="D172" t="str">
        <f t="array" ref="D172">IF(TRIM('Raw Data'!D172)&lt;&gt;"",TRIM('Raw Data'!D172),IFERROR(INDEX('Reference Table'!$A$2:$A$46,MATCH(VALUE('Raw Data'!E172),VALUE('Reference Table'!$B$2:$B$46),0)),"Unknown"))</f>
        <v>Meat_Chicken_1kg</v>
      </c>
      <c r="E172">
        <f>IF('Raw Data'!E172&lt;&gt;"",'Raw Data'!E172,IFERROR(INDEX('Reference Table'!$B$2:$B$32,MATCH(D172,'Reference Table'!$A$2:$A$32,0)),""))</f>
        <v>220</v>
      </c>
      <c r="F172">
        <f>IF('Raw Data'!F172&lt;&gt;"",'Raw Data'!F172,IFERROR(ROUND('Raw Data'!G172/E172,0),""))</f>
        <v>1</v>
      </c>
      <c r="G172">
        <f>IF('Raw Data'!G172&lt;&gt;"",'Raw Data'!G172,IFERROR(ROUND(E172*F172,2),""))</f>
        <v>220</v>
      </c>
      <c r="H172" t="str">
        <f>'Raw Data'!H172</f>
        <v>Credit Card</v>
      </c>
      <c r="I172" t="str">
        <f>IF('Raw Data'!D172="",IF(D172="Unknown","Could not recover","Filled from Price lookup"),IF(TRIM('Raw Data'!D172)&lt;&gt;'Raw Data'!D172,"Trimmed whitespace","OK"))</f>
        <v>OK</v>
      </c>
      <c r="J172" t="str">
        <f t="shared" si="2"/>
        <v>OK</v>
      </c>
    </row>
    <row r="173" spans="1:10">
      <c r="A173" t="str">
        <f>'Raw Data'!A173</f>
        <v>TXN_1285</v>
      </c>
      <c r="B173" s="1">
        <f>'Raw Data'!B173</f>
        <v>45851</v>
      </c>
      <c r="C173" t="str">
        <f>IFERROR(INDEX('Reference Table'!$C$2:$C$46,MATCH(D173,'Reference Table'!$A$2:$A$46,0)),"Unknown")</f>
        <v>Food</v>
      </c>
      <c r="D173" t="str">
        <f t="array" ref="D173">IF(TRIM('Raw Data'!D173)&lt;&gt;"",TRIM('Raw Data'!D173),IFERROR(INDEX('Reference Table'!$A$2:$A$46,MATCH(VALUE('Raw Data'!E173),VALUE('Reference Table'!$B$2:$B$46),0)),"Unknown"))</f>
        <v>Food_Oats_1kg</v>
      </c>
      <c r="E173">
        <f>IF('Raw Data'!E173&lt;&gt;"",'Raw Data'!E173,IFERROR(INDEX('Reference Table'!$B$2:$B$32,MATCH(D173,'Reference Table'!$A$2:$A$32,0)),""))</f>
        <v>120</v>
      </c>
      <c r="F173">
        <f>IF('Raw Data'!F173&lt;&gt;"",'Raw Data'!F173,IFERROR(ROUND('Raw Data'!G173/E173,0),""))</f>
        <v>2</v>
      </c>
      <c r="G173">
        <f>IF('Raw Data'!G173&lt;&gt;"",'Raw Data'!G173,IFERROR(ROUND(E173*F173,2),""))</f>
        <v>240</v>
      </c>
      <c r="H173" t="str">
        <f>'Raw Data'!H173</f>
        <v>Cash</v>
      </c>
      <c r="I173" t="str">
        <f>IF('Raw Data'!D173="",IF(D173="Unknown","Could not recover","Filled from Price lookup"),IF(TRIM('Raw Data'!D173)&lt;&gt;'Raw Data'!D173,"Trimmed whitespace","OK"))</f>
        <v>OK</v>
      </c>
      <c r="J173" t="str">
        <f t="shared" si="2"/>
        <v>OK</v>
      </c>
    </row>
    <row r="174" spans="1:10">
      <c r="A174" t="str">
        <f>'Raw Data'!A174</f>
        <v>TXN_1338</v>
      </c>
      <c r="B174" s="1">
        <f>'Raw Data'!B174</f>
        <v>45671</v>
      </c>
      <c r="C174" t="str">
        <f>IFERROR(INDEX('Reference Table'!$C$2:$C$46,MATCH(D174,'Reference Table'!$A$2:$A$46,0)),"Unknown")</f>
        <v>Beverages</v>
      </c>
      <c r="D174" t="str">
        <f t="array" ref="D174">IF(TRIM('Raw Data'!D174)&lt;&gt;"",TRIM('Raw Data'!D174),IFERROR(INDEX('Reference Table'!$A$2:$A$46,MATCH(VALUE('Raw Data'!E174),VALUE('Reference Table'!$B$2:$B$46),0)),"Unknown"))</f>
        <v>Bev_Juice_500ml</v>
      </c>
      <c r="E174">
        <f>IF('Raw Data'!E174&lt;&gt;"",'Raw Data'!E174,IFERROR(INDEX('Reference Table'!$B$2:$B$32,MATCH(D174,'Reference Table'!$A$2:$A$32,0)),""))</f>
        <v>45</v>
      </c>
      <c r="F174">
        <f>IF('Raw Data'!F174&lt;&gt;"",'Raw Data'!F174,IFERROR(ROUND('Raw Data'!G174/E174,0),""))</f>
        <v>4</v>
      </c>
      <c r="G174">
        <f>IF('Raw Data'!G174&lt;&gt;"",'Raw Data'!G174,IFERROR(ROUND(E174*F174,2),""))</f>
        <v>180</v>
      </c>
      <c r="H174" t="str">
        <f>'Raw Data'!H174</f>
        <v>Mobile Payment</v>
      </c>
      <c r="I174" t="str">
        <f>IF('Raw Data'!D174="",IF(D174="Unknown","Could not recover","Filled from Price lookup"),IF(TRIM('Raw Data'!D174)&lt;&gt;'Raw Data'!D174,"Trimmed whitespace","OK"))</f>
        <v>OK</v>
      </c>
      <c r="J174" t="str">
        <f t="shared" si="2"/>
        <v>OK</v>
      </c>
    </row>
    <row r="175" spans="1:10">
      <c r="A175" t="str">
        <f>'Raw Data'!A175</f>
        <v>TXN_1298</v>
      </c>
      <c r="B175" s="1">
        <f>'Raw Data'!B175</f>
        <v>45870</v>
      </c>
      <c r="C175" t="str">
        <f>IFERROR(INDEX('Reference Table'!$C$2:$C$46,MATCH(D175,'Reference Table'!$A$2:$A$46,0)),"Unknown")</f>
        <v>Electric Accessories</v>
      </c>
      <c r="D175" t="str">
        <f t="array" ref="D175">IF(TRIM('Raw Data'!D175)&lt;&gt;"",TRIM('Raw Data'!D175),IFERROR(INDEX('Reference Table'!$A$2:$A$46,MATCH(VALUE('Raw Data'!E175),VALUE('Reference Table'!$B$2:$B$46),0)),"Unknown"))</f>
        <v>Elec_Earphones</v>
      </c>
      <c r="E175">
        <f>IF('Raw Data'!E175&lt;&gt;"",'Raw Data'!E175,IFERROR(INDEX('Reference Table'!$B$2:$B$32,MATCH(D175,'Reference Table'!$A$2:$A$32,0)),""))</f>
        <v>350</v>
      </c>
      <c r="F175">
        <f>IF('Raw Data'!F175&lt;&gt;"",'Raw Data'!F175,IFERROR(ROUND('Raw Data'!G175/E175,0),""))</f>
        <v>4</v>
      </c>
      <c r="G175">
        <f>IF('Raw Data'!G175&lt;&gt;"",'Raw Data'!G175,IFERROR(ROUND(E175*F175,2),""))</f>
        <v>1400</v>
      </c>
      <c r="H175" t="str">
        <f>'Raw Data'!H175</f>
        <v>Debit Card</v>
      </c>
      <c r="I175" t="str">
        <f>IF('Raw Data'!D175="",IF(D175="Unknown","Could not recover","Filled from Price lookup"),IF(TRIM('Raw Data'!D175)&lt;&gt;'Raw Data'!D175,"Trimmed whitespace","OK"))</f>
        <v>Filled from Price lookup</v>
      </c>
      <c r="J175" t="str">
        <f t="shared" si="2"/>
        <v>OK</v>
      </c>
    </row>
    <row r="176" spans="1:10">
      <c r="A176" t="str">
        <f>'Raw Data'!A176</f>
        <v>TXN_1001</v>
      </c>
      <c r="B176" s="1">
        <f>'Raw Data'!B176</f>
        <v>45684</v>
      </c>
      <c r="C176" t="str">
        <f>IFERROR(INDEX('Reference Table'!$C$2:$C$46,MATCH(D176,'Reference Table'!$A$2:$A$46,0)),"Unknown")</f>
        <v>Food</v>
      </c>
      <c r="D176" t="str">
        <f t="array" ref="D176">IF(TRIM('Raw Data'!D176)&lt;&gt;"",TRIM('Raw Data'!D176),IFERROR(INDEX('Reference Table'!$A$2:$A$46,MATCH(VALUE('Raw Data'!E176),VALUE('Reference Table'!$B$2:$B$46),0)),"Unknown"))</f>
        <v>Food_Cereal_500g</v>
      </c>
      <c r="E176">
        <f>IF('Raw Data'!E176&lt;&gt;"",'Raw Data'!E176,IFERROR(INDEX('Reference Table'!$B$2:$B$32,MATCH(D176,'Reference Table'!$A$2:$A$32,0)),""))</f>
        <v>150</v>
      </c>
      <c r="F176">
        <f>IF('Raw Data'!F176&lt;&gt;"",'Raw Data'!F176,IFERROR(ROUND('Raw Data'!G176/E176,0),""))</f>
        <v>6</v>
      </c>
      <c r="G176">
        <f>IF('Raw Data'!G176&lt;&gt;"",'Raw Data'!G176,IFERROR(ROUND(E176*F176,2),""))</f>
        <v>900</v>
      </c>
      <c r="H176" t="str">
        <f>'Raw Data'!H176</f>
        <v>Cash</v>
      </c>
      <c r="I176" t="str">
        <f>IF('Raw Data'!D176="",IF(D176="Unknown","Could not recover","Filled from Price lookup"),IF(TRIM('Raw Data'!D176)&lt;&gt;'Raw Data'!D176,"Trimmed whitespace","OK"))</f>
        <v>OK</v>
      </c>
      <c r="J176" t="str">
        <f t="shared" si="2"/>
        <v>OK</v>
      </c>
    </row>
    <row r="177" spans="1:10">
      <c r="A177" t="str">
        <f>'Raw Data'!A177</f>
        <v>TXN_1426</v>
      </c>
      <c r="B177" s="1">
        <f>'Raw Data'!B177</f>
        <v>45744</v>
      </c>
      <c r="C177" t="str">
        <f>IFERROR(INDEX('Reference Table'!$C$2:$C$46,MATCH(D177,'Reference Table'!$A$2:$A$46,0)),"Unknown")</f>
        <v>Patisserie</v>
      </c>
      <c r="D177" t="str">
        <f t="array" ref="D177">IF(TRIM('Raw Data'!D177)&lt;&gt;"",TRIM('Raw Data'!D177),IFERROR(INDEX('Reference Table'!$A$2:$A$46,MATCH(VALUE('Raw Data'!E177),VALUE('Reference Table'!$B$2:$B$46),0)),"Unknown"))</f>
        <v>Pat_Cookie_Pack</v>
      </c>
      <c r="E177">
        <f>IF('Raw Data'!E177&lt;&gt;"",'Raw Data'!E177,IFERROR(INDEX('Reference Table'!$B$2:$B$32,MATCH(D177,'Reference Table'!$A$2:$A$32,0)),""))</f>
        <v>55</v>
      </c>
      <c r="F177">
        <f>IF('Raw Data'!F177&lt;&gt;"",'Raw Data'!F177,IFERROR(ROUND('Raw Data'!G177/E177,0),""))</f>
        <v>5</v>
      </c>
      <c r="G177">
        <f>IF('Raw Data'!G177&lt;&gt;"",'Raw Data'!G177,IFERROR(ROUND(E177*F177,2),""))</f>
        <v>275</v>
      </c>
      <c r="H177" t="str">
        <f>'Raw Data'!H177</f>
        <v>Mobile Payment</v>
      </c>
      <c r="I177" t="str">
        <f>IF('Raw Data'!D177="",IF(D177="Unknown","Could not recover","Filled from Price lookup"),IF(TRIM('Raw Data'!D177)&lt;&gt;'Raw Data'!D177,"Trimmed whitespace","OK"))</f>
        <v>OK</v>
      </c>
      <c r="J177" t="str">
        <f t="shared" si="2"/>
        <v>OK</v>
      </c>
    </row>
    <row r="178" spans="1:10">
      <c r="A178" t="str">
        <f>'Raw Data'!A178</f>
        <v>TXN_1183</v>
      </c>
      <c r="B178" s="1">
        <f>'Raw Data'!B178</f>
        <v>45704</v>
      </c>
      <c r="C178" t="str">
        <f>IFERROR(INDEX('Reference Table'!$C$2:$C$46,MATCH(D178,'Reference Table'!$A$2:$A$46,0)),"Unknown")</f>
        <v>Electric Accessories</v>
      </c>
      <c r="D178" t="str">
        <f t="array" ref="D178">IF(TRIM('Raw Data'!D178)&lt;&gt;"",TRIM('Raw Data'!D178),IFERROR(INDEX('Reference Table'!$A$2:$A$46,MATCH(VALUE('Raw Data'!E178),VALUE('Reference Table'!$B$2:$B$46),0)),"Unknown"))</f>
        <v>Elec_Batteries_4pk</v>
      </c>
      <c r="E178">
        <f>IF('Raw Data'!E178&lt;&gt;"",'Raw Data'!E178,IFERROR(INDEX('Reference Table'!$B$2:$B$32,MATCH(D178,'Reference Table'!$A$2:$A$32,0)),""))</f>
        <v>90</v>
      </c>
      <c r="F178">
        <f>IF('Raw Data'!F178&lt;&gt;"",'Raw Data'!F178,IFERROR(ROUND('Raw Data'!G178/E178,0),""))</f>
        <v>3</v>
      </c>
      <c r="G178">
        <f>IF('Raw Data'!G178&lt;&gt;"",'Raw Data'!G178,IFERROR(ROUND(E178*F178,2),""))</f>
        <v>270</v>
      </c>
      <c r="H178" t="str">
        <f>'Raw Data'!H178</f>
        <v>Mobile Payment</v>
      </c>
      <c r="I178" t="str">
        <f>IF('Raw Data'!D178="",IF(D178="Unknown","Could not recover","Filled from Price lookup"),IF(TRIM('Raw Data'!D178)&lt;&gt;'Raw Data'!D178,"Trimmed whitespace","OK"))</f>
        <v>OK</v>
      </c>
      <c r="J178" t="str">
        <f t="shared" si="2"/>
        <v>OK</v>
      </c>
    </row>
    <row r="179" spans="1:10">
      <c r="A179" t="str">
        <f>'Raw Data'!A179</f>
        <v>TXN_1262</v>
      </c>
      <c r="B179" s="1">
        <f>'Raw Data'!B179</f>
        <v>45840</v>
      </c>
      <c r="C179" t="str">
        <f>IFERROR(INDEX('Reference Table'!$C$2:$C$46,MATCH(D179,'Reference Table'!$A$2:$A$46,0)),"Unknown")</f>
        <v>Food</v>
      </c>
      <c r="D179" t="str">
        <f t="array" ref="D179">IF(TRIM('Raw Data'!D179)&lt;&gt;"",TRIM('Raw Data'!D179),IFERROR(INDEX('Reference Table'!$A$2:$A$46,MATCH(VALUE('Raw Data'!E179),VALUE('Reference Table'!$B$2:$B$46),0)),"Unknown"))</f>
        <v>Food_Wheat_1kg</v>
      </c>
      <c r="E179">
        <f>IF('Raw Data'!E179&lt;&gt;"",'Raw Data'!E179,IFERROR(INDEX('Reference Table'!$B$2:$B$32,MATCH(D179,'Reference Table'!$A$2:$A$32,0)),""))</f>
        <v>55</v>
      </c>
      <c r="F179">
        <f>IF('Raw Data'!F179&lt;&gt;"",'Raw Data'!F179,IFERROR(ROUND('Raw Data'!G179/E179,0),""))</f>
        <v>4</v>
      </c>
      <c r="G179">
        <f>IF('Raw Data'!G179&lt;&gt;"",'Raw Data'!G179,IFERROR(ROUND(E179*F179,2),""))</f>
        <v>220</v>
      </c>
      <c r="H179" t="str">
        <f>'Raw Data'!H179</f>
        <v>Mobile Payment</v>
      </c>
      <c r="I179" t="str">
        <f>IF('Raw Data'!D179="",IF(D179="Unknown","Could not recover","Filled from Price lookup"),IF(TRIM('Raw Data'!D179)&lt;&gt;'Raw Data'!D179,"Trimmed whitespace","OK"))</f>
        <v>Filled from Price lookup</v>
      </c>
      <c r="J179" t="str">
        <f t="shared" si="2"/>
        <v>OK</v>
      </c>
    </row>
    <row r="180" spans="1:10">
      <c r="A180" t="str">
        <f>'Raw Data'!A180</f>
        <v>TXN_1481</v>
      </c>
      <c r="B180" s="1">
        <f>'Raw Data'!B180</f>
        <v>45666</v>
      </c>
      <c r="C180" t="str">
        <f>IFERROR(INDEX('Reference Table'!$C$2:$C$46,MATCH(D180,'Reference Table'!$A$2:$A$46,0)),"Unknown")</f>
        <v>Beverages</v>
      </c>
      <c r="D180" t="str">
        <f t="array" ref="D180">IF(TRIM('Raw Data'!D180)&lt;&gt;"",TRIM('Raw Data'!D180),IFERROR(INDEX('Reference Table'!$A$2:$A$46,MATCH(VALUE('Raw Data'!E180),VALUE('Reference Table'!$B$2:$B$46),0)),"Unknown"))</f>
        <v>Bev_Tea_100g</v>
      </c>
      <c r="E180">
        <f>IF('Raw Data'!E180&lt;&gt;"",'Raw Data'!E180,IFERROR(INDEX('Reference Table'!$B$2:$B$32,MATCH(D180,'Reference Table'!$A$2:$A$32,0)),""))</f>
        <v>90</v>
      </c>
      <c r="F180">
        <f>IF('Raw Data'!F180&lt;&gt;"",'Raw Data'!F180,IFERROR(ROUND('Raw Data'!G180/E180,0),""))</f>
        <v>4</v>
      </c>
      <c r="G180">
        <f>IF('Raw Data'!G180&lt;&gt;"",'Raw Data'!G180,IFERROR(ROUND(E180*F180,2),""))</f>
        <v>360</v>
      </c>
      <c r="H180" t="str">
        <f>'Raw Data'!H180</f>
        <v>Debit Card</v>
      </c>
      <c r="I180" t="str">
        <f>IF('Raw Data'!D180="",IF(D180="Unknown","Could not recover","Filled from Price lookup"),IF(TRIM('Raw Data'!D180)&lt;&gt;'Raw Data'!D180,"Trimmed whitespace","OK"))</f>
        <v>OK</v>
      </c>
      <c r="J180" t="str">
        <f t="shared" si="2"/>
        <v>OK</v>
      </c>
    </row>
    <row r="181" spans="1:10">
      <c r="A181" t="str">
        <f>'Raw Data'!A181</f>
        <v>TXN_1142</v>
      </c>
      <c r="B181" s="1">
        <f>'Raw Data'!B181</f>
        <v>45727</v>
      </c>
      <c r="C181" t="str">
        <f>IFERROR(INDEX('Reference Table'!$C$2:$C$46,MATCH(D181,'Reference Table'!$A$2:$A$46,0)),"Unknown")</f>
        <v>Computers</v>
      </c>
      <c r="D181" t="str">
        <f t="array" ref="D181">IF(TRIM('Raw Data'!D181)&lt;&gt;"",TRIM('Raw Data'!D181),IFERROR(INDEX('Reference Table'!$A$2:$A$46,MATCH(VALUE('Raw Data'!E181),VALUE('Reference Table'!$B$2:$B$46),0)),"Unknown"))</f>
        <v>Comp_HDMI_Cable</v>
      </c>
      <c r="E181">
        <f>IF('Raw Data'!E181&lt;&gt;"",'Raw Data'!E181,IFERROR(INDEX('Reference Table'!$B$2:$B$32,MATCH(D181,'Reference Table'!$A$2:$A$32,0)),""))</f>
        <v>300</v>
      </c>
      <c r="F181">
        <f>IF('Raw Data'!F181&lt;&gt;"",'Raw Data'!F181,IFERROR(ROUND('Raw Data'!G181/E181,0),""))</f>
        <v>6</v>
      </c>
      <c r="G181">
        <f>IF('Raw Data'!G181&lt;&gt;"",'Raw Data'!G181,IFERROR(ROUND(E181*F181,2),""))</f>
        <v>1800</v>
      </c>
      <c r="H181" t="str">
        <f>'Raw Data'!H181</f>
        <v>Mobile Payment</v>
      </c>
      <c r="I181" t="str">
        <f>IF('Raw Data'!D181="",IF(D181="Unknown","Could not recover","Filled from Price lookup"),IF(TRIM('Raw Data'!D181)&lt;&gt;'Raw Data'!D181,"Trimmed whitespace","OK"))</f>
        <v>OK</v>
      </c>
      <c r="J181" t="str">
        <f t="shared" si="2"/>
        <v>OK</v>
      </c>
    </row>
    <row r="182" spans="1:10">
      <c r="A182" t="str">
        <f>'Raw Data'!A182</f>
        <v>TXN_1347</v>
      </c>
      <c r="B182" s="1">
        <f>'Raw Data'!B182</f>
        <v>45795</v>
      </c>
      <c r="C182" t="str">
        <f>IFERROR(INDEX('Reference Table'!$C$2:$C$46,MATCH(D182,'Reference Table'!$A$2:$A$46,0)),"Unknown")</f>
        <v>Computers</v>
      </c>
      <c r="D182" t="str">
        <f t="array" ref="D182">IF(TRIM('Raw Data'!D182)&lt;&gt;"",TRIM('Raw Data'!D182),IFERROR(INDEX('Reference Table'!$A$2:$A$46,MATCH(VALUE('Raw Data'!E182),VALUE('Reference Table'!$B$2:$B$46),0)),"Unknown"))</f>
        <v>Comp_Keyboard</v>
      </c>
      <c r="E182">
        <f>IF('Raw Data'!E182&lt;&gt;"",'Raw Data'!E182,IFERROR(INDEX('Reference Table'!$B$2:$B$32,MATCH(D182,'Reference Table'!$A$2:$A$32,0)),""))</f>
        <v>800</v>
      </c>
      <c r="F182">
        <f>IF('Raw Data'!F182&lt;&gt;"",'Raw Data'!F182,IFERROR(ROUND('Raw Data'!G182/E182,0),""))</f>
        <v>5</v>
      </c>
      <c r="G182">
        <f>IF('Raw Data'!G182&lt;&gt;"",'Raw Data'!G182,IFERROR(ROUND(E182*F182,2),""))</f>
        <v>4000</v>
      </c>
      <c r="H182" t="str">
        <f>'Raw Data'!H182</f>
        <v>Cash</v>
      </c>
      <c r="I182" t="str">
        <f>IF('Raw Data'!D182="",IF(D182="Unknown","Could not recover","Filled from Price lookup"),IF(TRIM('Raw Data'!D182)&lt;&gt;'Raw Data'!D182,"Trimmed whitespace","OK"))</f>
        <v>OK</v>
      </c>
      <c r="J182" t="str">
        <f t="shared" si="2"/>
        <v>OK</v>
      </c>
    </row>
    <row r="183" spans="1:10">
      <c r="A183" t="str">
        <f>'Raw Data'!A183</f>
        <v>TXN_1234</v>
      </c>
      <c r="B183" s="1">
        <f>'Raw Data'!B183</f>
        <v>45694</v>
      </c>
      <c r="C183" t="str">
        <f>IFERROR(INDEX('Reference Table'!$C$2:$C$46,MATCH(D183,'Reference Table'!$A$2:$A$46,0)),"Unknown")</f>
        <v>Electric Accessories</v>
      </c>
      <c r="D183" t="str">
        <f t="array" ref="D183">IF(TRIM('Raw Data'!D183)&lt;&gt;"",TRIM('Raw Data'!D183),IFERROR(INDEX('Reference Table'!$A$2:$A$46,MATCH(VALUE('Raw Data'!E183),VALUE('Reference Table'!$B$2:$B$46),0)),"Unknown"))</f>
        <v>Elec_Powerbank</v>
      </c>
      <c r="E183">
        <f>IF('Raw Data'!E183&lt;&gt;"",'Raw Data'!E183,IFERROR(INDEX('Reference Table'!$B$2:$B$32,MATCH(D183,'Reference Table'!$A$2:$A$32,0)),""))</f>
        <v>900</v>
      </c>
      <c r="F183">
        <f>IF('Raw Data'!F183&lt;&gt;"",'Raw Data'!F183,IFERROR(ROUND('Raw Data'!G183/E183,0),""))</f>
        <v>1</v>
      </c>
      <c r="G183">
        <f>IF('Raw Data'!G183&lt;&gt;"",'Raw Data'!G183,IFERROR(ROUND(E183*F183,2),""))</f>
        <v>900</v>
      </c>
      <c r="H183" t="str">
        <f>'Raw Data'!H183</f>
        <v>Credit Card</v>
      </c>
      <c r="I183" t="str">
        <f>IF('Raw Data'!D183="",IF(D183="Unknown","Could not recover","Filled from Price lookup"),IF(TRIM('Raw Data'!D183)&lt;&gt;'Raw Data'!D183,"Trimmed whitespace","OK"))</f>
        <v>OK</v>
      </c>
      <c r="J183" t="str">
        <f t="shared" si="2"/>
        <v>OK</v>
      </c>
    </row>
    <row r="184" spans="1:10">
      <c r="A184" t="str">
        <f>'Raw Data'!A184</f>
        <v>TXN_1118</v>
      </c>
      <c r="B184" s="1">
        <f>'Raw Data'!B184</f>
        <v>45780</v>
      </c>
      <c r="C184" t="str">
        <f>IFERROR(INDEX('Reference Table'!$C$2:$C$46,MATCH(D184,'Reference Table'!$A$2:$A$46,0)),"Unknown")</f>
        <v>Furniture</v>
      </c>
      <c r="D184" t="str">
        <f t="array" ref="D184">IF(TRIM('Raw Data'!D184)&lt;&gt;"",TRIM('Raw Data'!D184),IFERROR(INDEX('Reference Table'!$A$2:$A$46,MATCH(VALUE('Raw Data'!E184),VALUE('Reference Table'!$B$2:$B$46),0)),"Unknown"))</f>
        <v>Furn_Small_Table</v>
      </c>
      <c r="E184">
        <f>IF('Raw Data'!E184&lt;&gt;"",'Raw Data'!E184,IFERROR(INDEX('Reference Table'!$B$2:$B$32,MATCH(D184,'Reference Table'!$A$2:$A$32,0)),""))</f>
        <v>3200</v>
      </c>
      <c r="F184">
        <f>IF('Raw Data'!F184&lt;&gt;"",'Raw Data'!F184,IFERROR(ROUND('Raw Data'!G184/E184,0),""))</f>
        <v>4</v>
      </c>
      <c r="G184">
        <f>IF('Raw Data'!G184&lt;&gt;"",'Raw Data'!G184,IFERROR(ROUND(E184*F184,2),""))</f>
        <v>12800</v>
      </c>
      <c r="H184" t="str">
        <f>'Raw Data'!H184</f>
        <v>Cash</v>
      </c>
      <c r="I184" t="str">
        <f>IF('Raw Data'!D184="",IF(D184="Unknown","Could not recover","Filled from Price lookup"),IF(TRIM('Raw Data'!D184)&lt;&gt;'Raw Data'!D184,"Trimmed whitespace","OK"))</f>
        <v>OK</v>
      </c>
      <c r="J184" t="str">
        <f t="shared" si="2"/>
        <v>OK</v>
      </c>
    </row>
    <row r="185" spans="1:10">
      <c r="A185" t="str">
        <f>'Raw Data'!A185</f>
        <v>TXN_1519</v>
      </c>
      <c r="B185" s="1">
        <f>'Raw Data'!B185</f>
        <v>45822</v>
      </c>
      <c r="C185" t="str">
        <f>IFERROR(INDEX('Reference Table'!$C$2:$C$46,MATCH(D185,'Reference Table'!$A$2:$A$46,0)),"Unknown")</f>
        <v>Computers</v>
      </c>
      <c r="D185" t="str">
        <f t="array" ref="D185">IF(TRIM('Raw Data'!D185)&lt;&gt;"",TRIM('Raw Data'!D185),IFERROR(INDEX('Reference Table'!$A$2:$A$46,MATCH(VALUE('Raw Data'!E185),VALUE('Reference Table'!$B$2:$B$46),0)),"Unknown"))</f>
        <v>Comp_Keyboard</v>
      </c>
      <c r="E185">
        <f>IF('Raw Data'!E185&lt;&gt;"",'Raw Data'!E185,IFERROR(INDEX('Reference Table'!$B$2:$B$32,MATCH(D185,'Reference Table'!$A$2:$A$32,0)),""))</f>
        <v>800</v>
      </c>
      <c r="F185">
        <f>IF('Raw Data'!F185&lt;&gt;"",'Raw Data'!F185,IFERROR(ROUND('Raw Data'!G185/E185,0),""))</f>
        <v>6</v>
      </c>
      <c r="G185">
        <f>IF('Raw Data'!G185&lt;&gt;"",'Raw Data'!G185,IFERROR(ROUND(E185*F185,2),""))</f>
        <v>4800</v>
      </c>
      <c r="H185" t="str">
        <f>'Raw Data'!H185</f>
        <v>Mobile Payment</v>
      </c>
      <c r="I185" t="str">
        <f>IF('Raw Data'!D185="",IF(D185="Unknown","Could not recover","Filled from Price lookup"),IF(TRIM('Raw Data'!D185)&lt;&gt;'Raw Data'!D185,"Trimmed whitespace","OK"))</f>
        <v>OK</v>
      </c>
      <c r="J185" t="str">
        <f t="shared" si="2"/>
        <v>OK</v>
      </c>
    </row>
    <row r="186" spans="1:10">
      <c r="A186" t="str">
        <f>'Raw Data'!A186</f>
        <v>TXN_1159</v>
      </c>
      <c r="B186" s="1">
        <f>'Raw Data'!B186</f>
        <v>45732</v>
      </c>
      <c r="C186" t="str">
        <f>IFERROR(INDEX('Reference Table'!$C$2:$C$46,MATCH(D186,'Reference Table'!$A$2:$A$46,0)),"Unknown")</f>
        <v>Beverages</v>
      </c>
      <c r="D186" t="str">
        <f t="array" ref="D186">IF(TRIM('Raw Data'!D186)&lt;&gt;"",TRIM('Raw Data'!D186),IFERROR(INDEX('Reference Table'!$A$2:$A$46,MATCH(VALUE('Raw Data'!E186),VALUE('Reference Table'!$B$2:$B$46),0)),"Unknown"))</f>
        <v>Bev_Coffee_200g</v>
      </c>
      <c r="E186">
        <f>IF('Raw Data'!E186&lt;&gt;"",'Raw Data'!E186,IFERROR(INDEX('Reference Table'!$B$2:$B$32,MATCH(D186,'Reference Table'!$A$2:$A$32,0)),""))</f>
        <v>180</v>
      </c>
      <c r="F186">
        <f>IF('Raw Data'!F186&lt;&gt;"",'Raw Data'!F186,IFERROR(ROUND('Raw Data'!G186/E186,0),""))</f>
        <v>5</v>
      </c>
      <c r="G186">
        <f>IF('Raw Data'!G186&lt;&gt;"",'Raw Data'!G186,IFERROR(ROUND(E186*F186,2),""))</f>
        <v>900</v>
      </c>
      <c r="H186" t="str">
        <f>'Raw Data'!H186</f>
        <v>Credit Card</v>
      </c>
      <c r="I186" t="str">
        <f>IF('Raw Data'!D186="",IF(D186="Unknown","Could not recover","Filled from Price lookup"),IF(TRIM('Raw Data'!D186)&lt;&gt;'Raw Data'!D186,"Trimmed whitespace","OK"))</f>
        <v>OK</v>
      </c>
      <c r="J186" t="str">
        <f t="shared" si="2"/>
        <v>OK</v>
      </c>
    </row>
    <row r="187" spans="1:10">
      <c r="A187" t="str">
        <f>'Raw Data'!A187</f>
        <v>TXN_1524</v>
      </c>
      <c r="B187" s="1">
        <f>'Raw Data'!B187</f>
        <v>45753</v>
      </c>
      <c r="C187" t="str">
        <f>IFERROR(INDEX('Reference Table'!$C$2:$C$46,MATCH(D187,'Reference Table'!$A$2:$A$46,0)),"Unknown")</f>
        <v>Computers</v>
      </c>
      <c r="D187" t="str">
        <f t="array" ref="D187">IF(TRIM('Raw Data'!D187)&lt;&gt;"",TRIM('Raw Data'!D187),IFERROR(INDEX('Reference Table'!$A$2:$A$46,MATCH(VALUE('Raw Data'!E187),VALUE('Reference Table'!$B$2:$B$46),0)),"Unknown"))</f>
        <v>Comp_USB_Drive_32GB</v>
      </c>
      <c r="E187">
        <f>IF('Raw Data'!E187&lt;&gt;"",'Raw Data'!E187,IFERROR(INDEX('Reference Table'!$B$2:$B$32,MATCH(D187,'Reference Table'!$A$2:$A$32,0)),""))</f>
        <v>450</v>
      </c>
      <c r="F187">
        <f>IF('Raw Data'!F187&lt;&gt;"",'Raw Data'!F187,IFERROR(ROUND('Raw Data'!G187/E187,0),""))</f>
        <v>4</v>
      </c>
      <c r="G187">
        <f>IF('Raw Data'!G187&lt;&gt;"",'Raw Data'!G187,IFERROR(ROUND(E187*F187,2),""))</f>
        <v>1800</v>
      </c>
      <c r="H187" t="str">
        <f>'Raw Data'!H187</f>
        <v>Cash</v>
      </c>
      <c r="I187" t="str">
        <f>IF('Raw Data'!D187="",IF(D187="Unknown","Could not recover","Filled from Price lookup"),IF(TRIM('Raw Data'!D187)&lt;&gt;'Raw Data'!D187,"Trimmed whitespace","OK"))</f>
        <v>OK</v>
      </c>
      <c r="J187" t="str">
        <f t="shared" si="2"/>
        <v>OK</v>
      </c>
    </row>
    <row r="188" spans="1:10">
      <c r="A188" t="str">
        <f>'Raw Data'!A188</f>
        <v>TXN_1144</v>
      </c>
      <c r="B188" s="1">
        <f>'Raw Data'!B188</f>
        <v>45883</v>
      </c>
      <c r="C188" t="str">
        <f>IFERROR(INDEX('Reference Table'!$C$2:$C$46,MATCH(D188,'Reference Table'!$A$2:$A$46,0)),"Unknown")</f>
        <v>Food</v>
      </c>
      <c r="D188" t="str">
        <f t="array" ref="D188">IF(TRIM('Raw Data'!D188)&lt;&gt;"",TRIM('Raw Data'!D188),IFERROR(INDEX('Reference Table'!$A$2:$A$46,MATCH(VALUE('Raw Data'!E188),VALUE('Reference Table'!$B$2:$B$46),0)),"Unknown"))</f>
        <v>Food_Rice_1kg</v>
      </c>
      <c r="E188">
        <f>IF('Raw Data'!E188&lt;&gt;"",'Raw Data'!E188,IFERROR(INDEX('Reference Table'!$B$2:$B$32,MATCH(D188,'Reference Table'!$A$2:$A$32,0)),""))</f>
        <v>70</v>
      </c>
      <c r="F188">
        <f>IF('Raw Data'!F188&lt;&gt;"",'Raw Data'!F188,IFERROR(ROUND('Raw Data'!G188/E188,0),""))</f>
        <v>3</v>
      </c>
      <c r="G188">
        <f>IF('Raw Data'!G188&lt;&gt;"",'Raw Data'!G188,IFERROR(ROUND(E188*F188,2),""))</f>
        <v>210</v>
      </c>
      <c r="H188" t="str">
        <f>'Raw Data'!H188</f>
        <v>Mobile Payment</v>
      </c>
      <c r="I188" t="str">
        <f>IF('Raw Data'!D188="",IF(D188="Unknown","Could not recover","Filled from Price lookup"),IF(TRIM('Raw Data'!D188)&lt;&gt;'Raw Data'!D188,"Trimmed whitespace","OK"))</f>
        <v>OK</v>
      </c>
      <c r="J188" t="str">
        <f t="shared" si="2"/>
        <v>OK</v>
      </c>
    </row>
    <row r="189" spans="1:10">
      <c r="A189" t="str">
        <f>'Raw Data'!A189</f>
        <v>TXN_1074</v>
      </c>
      <c r="B189" s="1">
        <f>'Raw Data'!B189</f>
        <v>45847</v>
      </c>
      <c r="C189" t="str">
        <f>IFERROR(INDEX('Reference Table'!$C$2:$C$46,MATCH(D189,'Reference Table'!$A$2:$A$46,0)),"Unknown")</f>
        <v>Patisserie</v>
      </c>
      <c r="D189" t="str">
        <f t="array" ref="D189">IF(TRIM('Raw Data'!D189)&lt;&gt;"",TRIM('Raw Data'!D189),IFERROR(INDEX('Reference Table'!$A$2:$A$46,MATCH(VALUE('Raw Data'!E189),VALUE('Reference Table'!$B$2:$B$46),0)),"Unknown"))</f>
        <v>Pat_Muffin</v>
      </c>
      <c r="E189">
        <f>IF('Raw Data'!E189&lt;&gt;"",'Raw Data'!E189,IFERROR(INDEX('Reference Table'!$B$2:$B$32,MATCH(D189,'Reference Table'!$A$2:$A$32,0)),""))</f>
        <v>35</v>
      </c>
      <c r="F189">
        <f>IF('Raw Data'!F189&lt;&gt;"",'Raw Data'!F189,IFERROR(ROUND('Raw Data'!G189/E189,0),""))</f>
        <v>2</v>
      </c>
      <c r="G189">
        <f>IF('Raw Data'!G189&lt;&gt;"",'Raw Data'!G189,IFERROR(ROUND(E189*F189,2),""))</f>
        <v>70</v>
      </c>
      <c r="H189" t="str">
        <f>'Raw Data'!H189</f>
        <v>Mobile Payment</v>
      </c>
      <c r="I189" t="str">
        <f>IF('Raw Data'!D189="",IF(D189="Unknown","Could not recover","Filled from Price lookup"),IF(TRIM('Raw Data'!D189)&lt;&gt;'Raw Data'!D189,"Trimmed whitespace","OK"))</f>
        <v>OK</v>
      </c>
      <c r="J189" t="str">
        <f t="shared" si="2"/>
        <v>OK</v>
      </c>
    </row>
    <row r="190" spans="1:10">
      <c r="A190" t="str">
        <f>'Raw Data'!A190</f>
        <v>TXN_1518</v>
      </c>
      <c r="B190" s="1">
        <f>'Raw Data'!B190</f>
        <v>45798</v>
      </c>
      <c r="C190" t="str">
        <f>IFERROR(INDEX('Reference Table'!$C$2:$C$46,MATCH(D190,'Reference Table'!$A$2:$A$46,0)),"Unknown")</f>
        <v>Patisserie</v>
      </c>
      <c r="D190" t="str">
        <f t="array" ref="D190">IF(TRIM('Raw Data'!D190)&lt;&gt;"",TRIM('Raw Data'!D190),IFERROR(INDEX('Reference Table'!$A$2:$A$46,MATCH(VALUE('Raw Data'!E190),VALUE('Reference Table'!$B$2:$B$46),0)),"Unknown"))</f>
        <v>Pat_Croissant</v>
      </c>
      <c r="E190">
        <f>IF('Raw Data'!E190&lt;&gt;"",'Raw Data'!E190,IFERROR(INDEX('Reference Table'!$B$2:$B$32,MATCH(D190,'Reference Table'!$A$2:$A$32,0)),""))</f>
        <v>40</v>
      </c>
      <c r="F190">
        <f>IF('Raw Data'!F190&lt;&gt;"",'Raw Data'!F190,IFERROR(ROUND('Raw Data'!G190/E190,0),""))</f>
        <v>4</v>
      </c>
      <c r="G190">
        <f>IF('Raw Data'!G190&lt;&gt;"",'Raw Data'!G190,IFERROR(ROUND(E190*F190,2),""))</f>
        <v>160</v>
      </c>
      <c r="H190" t="str">
        <f>'Raw Data'!H190</f>
        <v>Debit Card</v>
      </c>
      <c r="I190" t="str">
        <f>IF('Raw Data'!D190="",IF(D190="Unknown","Could not recover","Filled from Price lookup"),IF(TRIM('Raw Data'!D190)&lt;&gt;'Raw Data'!D190,"Trimmed whitespace","OK"))</f>
        <v>OK</v>
      </c>
      <c r="J190" t="str">
        <f t="shared" si="2"/>
        <v>OK</v>
      </c>
    </row>
    <row r="191" spans="1:10">
      <c r="A191" t="str">
        <f>'Raw Data'!A191</f>
        <v>TXN_1250</v>
      </c>
      <c r="B191" s="1">
        <f>'Raw Data'!B191</f>
        <v>45690</v>
      </c>
      <c r="C191" t="str">
        <f>IFERROR(INDEX('Reference Table'!$C$2:$C$46,MATCH(D191,'Reference Table'!$A$2:$A$46,0)),"Unknown")</f>
        <v>Butchers</v>
      </c>
      <c r="D191" t="str">
        <f t="array" ref="D191">IF(TRIM('Raw Data'!D191)&lt;&gt;"",TRIM('Raw Data'!D191),IFERROR(INDEX('Reference Table'!$A$2:$A$46,MATCH(VALUE('Raw Data'!E191),VALUE('Reference Table'!$B$2:$B$46),0)),"Unknown"))</f>
        <v xml:space="preserve">  Meat_Mutton_1kg  </v>
      </c>
      <c r="E191">
        <f>IF('Raw Data'!E191&lt;&gt;"",'Raw Data'!E191,IFERROR(INDEX('Reference Table'!$B$2:$B$32,MATCH(D191,'Reference Table'!$A$2:$A$32,0)),""))</f>
        <v>650</v>
      </c>
      <c r="F191">
        <f>IF('Raw Data'!F191&lt;&gt;"",'Raw Data'!F191,IFERROR(ROUND('Raw Data'!G191/E191,0),""))</f>
        <v>2</v>
      </c>
      <c r="G191">
        <f>IF('Raw Data'!G191&lt;&gt;"",'Raw Data'!G191,IFERROR(ROUND(E191*F191,2),""))</f>
        <v>1300</v>
      </c>
      <c r="H191" t="str">
        <f>'Raw Data'!H191</f>
        <v>Credit Card</v>
      </c>
      <c r="I191" t="str">
        <f>IF('Raw Data'!D191="",IF(D191="Unknown","Could not recover","Filled from Price lookup"),IF(TRIM('Raw Data'!D191)&lt;&gt;'Raw Data'!D191,"Trimmed whitespace","OK"))</f>
        <v>Filled from Price lookup</v>
      </c>
      <c r="J191" t="str">
        <f t="shared" si="2"/>
        <v>OK</v>
      </c>
    </row>
    <row r="192" spans="1:10">
      <c r="A192" t="str">
        <f>'Raw Data'!A192</f>
        <v>TXN_1514</v>
      </c>
      <c r="B192" s="1">
        <f>'Raw Data'!B192</f>
        <v>45892</v>
      </c>
      <c r="C192" t="str">
        <f>IFERROR(INDEX('Reference Table'!$C$2:$C$46,MATCH(D192,'Reference Table'!$A$2:$A$46,0)),"Unknown")</f>
        <v>Computers</v>
      </c>
      <c r="D192" t="str">
        <f t="array" ref="D192">IF(TRIM('Raw Data'!D192)&lt;&gt;"",TRIM('Raw Data'!D192),IFERROR(INDEX('Reference Table'!$A$2:$A$46,MATCH(VALUE('Raw Data'!E192),VALUE('Reference Table'!$B$2:$B$46),0)),"Unknown"))</f>
        <v>Comp_Mouse</v>
      </c>
      <c r="E192">
        <f>IF('Raw Data'!E192&lt;&gt;"",'Raw Data'!E192,IFERROR(INDEX('Reference Table'!$B$2:$B$32,MATCH(D192,'Reference Table'!$A$2:$A$32,0)),""))</f>
        <v>500</v>
      </c>
      <c r="F192">
        <f>IF('Raw Data'!F192&lt;&gt;"",'Raw Data'!F192,IFERROR(ROUND('Raw Data'!G192/E192,0),""))</f>
        <v>3</v>
      </c>
      <c r="G192">
        <f>IF('Raw Data'!G192&lt;&gt;"",'Raw Data'!G192,IFERROR(ROUND(E192*F192,2),""))</f>
        <v>2250</v>
      </c>
      <c r="H192" t="str">
        <f>'Raw Data'!H192</f>
        <v>Credit Card</v>
      </c>
      <c r="I192" t="str">
        <f>IF('Raw Data'!D192="",IF(D192="Unknown","Could not recover","Filled from Price lookup"),IF(TRIM('Raw Data'!D192)&lt;&gt;'Raw Data'!D192,"Trimmed whitespace","OK"))</f>
        <v>OK</v>
      </c>
      <c r="J192" t="str">
        <f t="shared" si="2"/>
        <v>Mismatch</v>
      </c>
    </row>
    <row r="193" spans="1:10">
      <c r="A193" t="str">
        <f>'Raw Data'!A193</f>
        <v>TXN_1594</v>
      </c>
      <c r="B193" s="1">
        <f>'Raw Data'!B193</f>
        <v>45821</v>
      </c>
      <c r="C193" t="str">
        <f>IFERROR(INDEX('Reference Table'!$C$2:$C$46,MATCH(D193,'Reference Table'!$A$2:$A$46,0)),"Unknown")</f>
        <v>Computers</v>
      </c>
      <c r="D193" t="str">
        <f t="array" ref="D193">IF(TRIM('Raw Data'!D193)&lt;&gt;"",TRIM('Raw Data'!D193),IFERROR(INDEX('Reference Table'!$A$2:$A$46,MATCH(VALUE('Raw Data'!E193),VALUE('Reference Table'!$B$2:$B$46),0)),"Unknown"))</f>
        <v>Comp_Keyboard</v>
      </c>
      <c r="E193">
        <f>IF('Raw Data'!E193&lt;&gt;"",'Raw Data'!E193,IFERROR(INDEX('Reference Table'!$B$2:$B$32,MATCH(D193,'Reference Table'!$A$2:$A$32,0)),""))</f>
        <v>800</v>
      </c>
      <c r="F193">
        <f>IF('Raw Data'!F193&lt;&gt;"",'Raw Data'!F193,IFERROR(ROUND('Raw Data'!G193/E193,0),""))</f>
        <v>5</v>
      </c>
      <c r="G193">
        <f>IF('Raw Data'!G193&lt;&gt;"",'Raw Data'!G193,IFERROR(ROUND(E193*F193,2),""))</f>
        <v>4000</v>
      </c>
      <c r="H193" t="str">
        <f>'Raw Data'!H193</f>
        <v>Debit Card</v>
      </c>
      <c r="I193" t="str">
        <f>IF('Raw Data'!D193="",IF(D193="Unknown","Could not recover","Filled from Price lookup"),IF(TRIM('Raw Data'!D193)&lt;&gt;'Raw Data'!D193,"Trimmed whitespace","OK"))</f>
        <v>OK</v>
      </c>
      <c r="J193" t="str">
        <f t="shared" si="2"/>
        <v>OK</v>
      </c>
    </row>
    <row r="194" spans="1:10">
      <c r="A194" t="str">
        <f>'Raw Data'!A194</f>
        <v>TXN_1531</v>
      </c>
      <c r="B194" s="1">
        <f>'Raw Data'!B194</f>
        <v>45720</v>
      </c>
      <c r="C194" t="str">
        <f>IFERROR(INDEX('Reference Table'!$C$2:$C$46,MATCH(D194,'Reference Table'!$A$2:$A$46,0)),"Unknown")</f>
        <v>Electric Accessories</v>
      </c>
      <c r="D194" t="str">
        <f t="array" ref="D194">IF(TRIM('Raw Data'!D194)&lt;&gt;"",TRIM('Raw Data'!D194),IFERROR(INDEX('Reference Table'!$A$2:$A$46,MATCH(VALUE('Raw Data'!E194),VALUE('Reference Table'!$B$2:$B$46),0)),"Unknown"))</f>
        <v>Elec_Powerbank</v>
      </c>
      <c r="E194">
        <f>IF('Raw Data'!E194&lt;&gt;"",'Raw Data'!E194,IFERROR(INDEX('Reference Table'!$B$2:$B$32,MATCH(D194,'Reference Table'!$A$2:$A$32,0)),""))</f>
        <v>900</v>
      </c>
      <c r="F194">
        <f>IF('Raw Data'!F194&lt;&gt;"",'Raw Data'!F194,IFERROR(ROUND('Raw Data'!G194/E194,0),""))</f>
        <v>5</v>
      </c>
      <c r="G194">
        <f>IF('Raw Data'!G194&lt;&gt;"",'Raw Data'!G194,IFERROR(ROUND(E194*F194,2),""))</f>
        <v>4500</v>
      </c>
      <c r="H194" t="str">
        <f>'Raw Data'!H194</f>
        <v>Credit Card</v>
      </c>
      <c r="I194" t="str">
        <f>IF('Raw Data'!D194="",IF(D194="Unknown","Could not recover","Filled from Price lookup"),IF(TRIM('Raw Data'!D194)&lt;&gt;'Raw Data'!D194,"Trimmed whitespace","OK"))</f>
        <v>OK</v>
      </c>
      <c r="J194" t="str">
        <f t="shared" si="2"/>
        <v>OK</v>
      </c>
    </row>
    <row r="195" spans="1:10">
      <c r="A195" t="str">
        <f>'Raw Data'!A195</f>
        <v>TXN_1022</v>
      </c>
      <c r="B195" s="1">
        <f>'Raw Data'!B195</f>
        <v>45760</v>
      </c>
      <c r="C195" t="str">
        <f>IFERROR(INDEX('Reference Table'!$C$2:$C$46,MATCH(D195,'Reference Table'!$A$2:$A$46,0)),"Unknown")</f>
        <v>Electric Accessories</v>
      </c>
      <c r="D195" t="str">
        <f t="array" ref="D195">IF(TRIM('Raw Data'!D195)&lt;&gt;"",TRIM('Raw Data'!D195),IFERROR(INDEX('Reference Table'!$A$2:$A$46,MATCH(VALUE('Raw Data'!E195),VALUE('Reference Table'!$B$2:$B$46),0)),"Unknown"))</f>
        <v>Elec_Earphones</v>
      </c>
      <c r="E195">
        <f>IF('Raw Data'!E195&lt;&gt;"",'Raw Data'!E195,IFERROR(INDEX('Reference Table'!$B$2:$B$32,MATCH(D195,'Reference Table'!$A$2:$A$32,0)),""))</f>
        <v>350</v>
      </c>
      <c r="F195">
        <f>IF('Raw Data'!F195&lt;&gt;"",'Raw Data'!F195,IFERROR(ROUND('Raw Data'!G195/E195,0),""))</f>
        <v>5</v>
      </c>
      <c r="G195">
        <f>IF('Raw Data'!G195&lt;&gt;"",'Raw Data'!G195,IFERROR(ROUND(E195*F195,2),""))</f>
        <v>1750</v>
      </c>
      <c r="H195" t="str">
        <f>'Raw Data'!H195</f>
        <v>Debit Card</v>
      </c>
      <c r="I195" t="str">
        <f>IF('Raw Data'!D195="",IF(D195="Unknown","Could not recover","Filled from Price lookup"),IF(TRIM('Raw Data'!D195)&lt;&gt;'Raw Data'!D195,"Trimmed whitespace","OK"))</f>
        <v>OK</v>
      </c>
      <c r="J195" t="str">
        <f t="shared" ref="J195:J258" si="3">IF(AND(E195&lt;&gt;"",F195&lt;&gt;"",G195&lt;&gt;""),IF(ROUND(E195*F195,2)=ROUND(G195,2),"OK","Mismatch"),"Incomplete")</f>
        <v>OK</v>
      </c>
    </row>
    <row r="196" spans="1:10">
      <c r="A196" t="str">
        <f>'Raw Data'!A196</f>
        <v>TXN_1276</v>
      </c>
      <c r="B196" s="1">
        <f>'Raw Data'!B196</f>
        <v>45874</v>
      </c>
      <c r="C196" t="str">
        <f>IFERROR(INDEX('Reference Table'!$C$2:$C$46,MATCH(D196,'Reference Table'!$A$2:$A$46,0)),"Unknown")</f>
        <v>Computers</v>
      </c>
      <c r="D196" t="str">
        <f t="array" ref="D196">IF(TRIM('Raw Data'!D196)&lt;&gt;"",TRIM('Raw Data'!D196),IFERROR(INDEX('Reference Table'!$A$2:$A$46,MATCH(VALUE('Raw Data'!E196),VALUE('Reference Table'!$B$2:$B$46),0)),"Unknown"))</f>
        <v>Comp_Mouse</v>
      </c>
      <c r="E196">
        <f>IF('Raw Data'!E196&lt;&gt;"",'Raw Data'!E196,IFERROR(INDEX('Reference Table'!$B$2:$B$32,MATCH(D196,'Reference Table'!$A$2:$A$32,0)),""))</f>
        <v>500</v>
      </c>
      <c r="F196">
        <f>IF('Raw Data'!F196&lt;&gt;"",'Raw Data'!F196,IFERROR(ROUND('Raw Data'!G196/E196,0),""))</f>
        <v>2</v>
      </c>
      <c r="G196">
        <f>IF('Raw Data'!G196&lt;&gt;"",'Raw Data'!G196,IFERROR(ROUND(E196*F196,2),""))</f>
        <v>1500</v>
      </c>
      <c r="H196" t="str">
        <f>'Raw Data'!H196</f>
        <v>Cash</v>
      </c>
      <c r="I196" t="str">
        <f>IF('Raw Data'!D196="",IF(D196="Unknown","Could not recover","Filled from Price lookup"),IF(TRIM('Raw Data'!D196)&lt;&gt;'Raw Data'!D196,"Trimmed whitespace","OK"))</f>
        <v>OK</v>
      </c>
      <c r="J196" t="str">
        <f t="shared" si="3"/>
        <v>Mismatch</v>
      </c>
    </row>
    <row r="197" spans="1:10">
      <c r="A197" t="str">
        <f>'Raw Data'!A197</f>
        <v>TXN_1297</v>
      </c>
      <c r="B197" s="1">
        <f>'Raw Data'!B197</f>
        <v>45741</v>
      </c>
      <c r="C197" t="str">
        <f>IFERROR(INDEX('Reference Table'!$C$2:$C$46,MATCH(D197,'Reference Table'!$A$2:$A$46,0)),"Unknown")</f>
        <v>Electric Accessories</v>
      </c>
      <c r="D197" t="str">
        <f t="array" ref="D197">IF(TRIM('Raw Data'!D197)&lt;&gt;"",TRIM('Raw Data'!D197),IFERROR(INDEX('Reference Table'!$A$2:$A$46,MATCH(VALUE('Raw Data'!E197),VALUE('Reference Table'!$B$2:$B$46),0)),"Unknown"))</f>
        <v>Elec_Cable_USB</v>
      </c>
      <c r="E197">
        <f>IF('Raw Data'!E197&lt;&gt;"",'Raw Data'!E197,IFERROR(INDEX('Reference Table'!$B$2:$B$32,MATCH(D197,'Reference Table'!$A$2:$A$32,0)),""))</f>
        <v>150</v>
      </c>
      <c r="F197">
        <f>IF('Raw Data'!F197&lt;&gt;"",'Raw Data'!F197,IFERROR(ROUND('Raw Data'!G197/E197,0),""))</f>
        <v>1</v>
      </c>
      <c r="G197">
        <f>IF('Raw Data'!G197&lt;&gt;"",'Raw Data'!G197,IFERROR(ROUND(E197*F197,2),""))</f>
        <v>150</v>
      </c>
      <c r="H197" t="str">
        <f>'Raw Data'!H197</f>
        <v>Credit Card</v>
      </c>
      <c r="I197" t="str">
        <f>IF('Raw Data'!D197="",IF(D197="Unknown","Could not recover","Filled from Price lookup"),IF(TRIM('Raw Data'!D197)&lt;&gt;'Raw Data'!D197,"Trimmed whitespace","OK"))</f>
        <v>OK</v>
      </c>
      <c r="J197" t="str">
        <f t="shared" si="3"/>
        <v>OK</v>
      </c>
    </row>
    <row r="198" spans="1:10">
      <c r="A198" t="str">
        <f>'Raw Data'!A198</f>
        <v>TXN_1072</v>
      </c>
      <c r="B198" s="1">
        <f>'Raw Data'!B198</f>
        <v>45681</v>
      </c>
      <c r="C198" t="str">
        <f>IFERROR(INDEX('Reference Table'!$C$2:$C$46,MATCH(D198,'Reference Table'!$A$2:$A$46,0)),"Unknown")</f>
        <v>Patisserie</v>
      </c>
      <c r="D198" t="str">
        <f t="array" ref="D198">IF(TRIM('Raw Data'!D198)&lt;&gt;"",TRIM('Raw Data'!D198),IFERROR(INDEX('Reference Table'!$A$2:$A$46,MATCH(VALUE('Raw Data'!E198),VALUE('Reference Table'!$B$2:$B$46),0)),"Unknown"))</f>
        <v>Pat_Muffin</v>
      </c>
      <c r="E198">
        <f>IF('Raw Data'!E198&lt;&gt;"",'Raw Data'!E198,IFERROR(INDEX('Reference Table'!$B$2:$B$32,MATCH(D198,'Reference Table'!$A$2:$A$32,0)),""))</f>
        <v>35</v>
      </c>
      <c r="F198">
        <f>IF('Raw Data'!F198&lt;&gt;"",'Raw Data'!F198,IFERROR(ROUND('Raw Data'!G198/E198,0),""))</f>
        <v>1</v>
      </c>
      <c r="G198">
        <f>IF('Raw Data'!G198&lt;&gt;"",'Raw Data'!G198,IFERROR(ROUND(E198*F198,2),""))</f>
        <v>35</v>
      </c>
      <c r="H198" t="str">
        <f>'Raw Data'!H198</f>
        <v>Mobile Payment</v>
      </c>
      <c r="I198" t="str">
        <f>IF('Raw Data'!D198="",IF(D198="Unknown","Could not recover","Filled from Price lookup"),IF(TRIM('Raw Data'!D198)&lt;&gt;'Raw Data'!D198,"Trimmed whitespace","OK"))</f>
        <v>OK</v>
      </c>
      <c r="J198" t="str">
        <f t="shared" si="3"/>
        <v>OK</v>
      </c>
    </row>
    <row r="199" spans="1:10">
      <c r="A199" t="str">
        <f>'Raw Data'!A199</f>
        <v>TXN_1441</v>
      </c>
      <c r="B199" s="1">
        <f>'Raw Data'!B199</f>
        <v>45780</v>
      </c>
      <c r="C199" t="str">
        <f>IFERROR(INDEX('Reference Table'!$C$2:$C$46,MATCH(D199,'Reference Table'!$A$2:$A$46,0)),"Unknown")</f>
        <v>Computers</v>
      </c>
      <c r="D199" t="str">
        <f t="array" ref="D199">IF(TRIM('Raw Data'!D199)&lt;&gt;"",TRIM('Raw Data'!D199),IFERROR(INDEX('Reference Table'!$A$2:$A$46,MATCH(VALUE('Raw Data'!E199),VALUE('Reference Table'!$B$2:$B$46),0)),"Unknown"))</f>
        <v>Comp_Keyboard</v>
      </c>
      <c r="E199">
        <f>IF('Raw Data'!E199&lt;&gt;"",'Raw Data'!E199,IFERROR(INDEX('Reference Table'!$B$2:$B$32,MATCH(D199,'Reference Table'!$A$2:$A$32,0)),""))</f>
        <v>800</v>
      </c>
      <c r="F199">
        <f>IF('Raw Data'!F199&lt;&gt;"",'Raw Data'!F199,IFERROR(ROUND('Raw Data'!G199/E199,0),""))</f>
        <v>3</v>
      </c>
      <c r="G199">
        <f>IF('Raw Data'!G199&lt;&gt;"",'Raw Data'!G199,IFERROR(ROUND(E199*F199,2),""))</f>
        <v>2400</v>
      </c>
      <c r="H199" t="str">
        <f>'Raw Data'!H199</f>
        <v>Debit Card</v>
      </c>
      <c r="I199" t="str">
        <f>IF('Raw Data'!D199="",IF(D199="Unknown","Could not recover","Filled from Price lookup"),IF(TRIM('Raw Data'!D199)&lt;&gt;'Raw Data'!D199,"Trimmed whitespace","OK"))</f>
        <v>OK</v>
      </c>
      <c r="J199" t="str">
        <f t="shared" si="3"/>
        <v>OK</v>
      </c>
    </row>
    <row r="200" spans="1:10">
      <c r="A200" t="str">
        <f>'Raw Data'!A200</f>
        <v>TXN_1017</v>
      </c>
      <c r="B200" s="1">
        <f>'Raw Data'!B200</f>
        <v>45868</v>
      </c>
      <c r="C200" t="str">
        <f>IFERROR(INDEX('Reference Table'!$C$2:$C$46,MATCH(D200,'Reference Table'!$A$2:$A$46,0)),"Unknown")</f>
        <v>Beverages</v>
      </c>
      <c r="D200" t="str">
        <f t="array" ref="D200">IF(TRIM('Raw Data'!D200)&lt;&gt;"",TRIM('Raw Data'!D200),IFERROR(INDEX('Reference Table'!$A$2:$A$46,MATCH(VALUE('Raw Data'!E200),VALUE('Reference Table'!$B$2:$B$46),0)),"Unknown"))</f>
        <v>Bev_Coffee_200g</v>
      </c>
      <c r="E200">
        <f>IF('Raw Data'!E200&lt;&gt;"",'Raw Data'!E200,IFERROR(INDEX('Reference Table'!$B$2:$B$32,MATCH(D200,'Reference Table'!$A$2:$A$32,0)),""))</f>
        <v>180</v>
      </c>
      <c r="F200">
        <f>IF('Raw Data'!F200&lt;&gt;"",'Raw Data'!F200,IFERROR(ROUND('Raw Data'!G200/E200,0),""))</f>
        <v>2</v>
      </c>
      <c r="G200">
        <f>IF('Raw Data'!G200&lt;&gt;"",'Raw Data'!G200,IFERROR(ROUND(E200*F200,2),""))</f>
        <v>360</v>
      </c>
      <c r="H200" t="str">
        <f>'Raw Data'!H200</f>
        <v>Cash</v>
      </c>
      <c r="I200" t="str">
        <f>IF('Raw Data'!D200="",IF(D200="Unknown","Could not recover","Filled from Price lookup"),IF(TRIM('Raw Data'!D200)&lt;&gt;'Raw Data'!D200,"Trimmed whitespace","OK"))</f>
        <v>OK</v>
      </c>
      <c r="J200" t="str">
        <f t="shared" si="3"/>
        <v>OK</v>
      </c>
    </row>
    <row r="201" spans="1:10">
      <c r="A201" t="str">
        <f>'Raw Data'!A201</f>
        <v>TXN_1102</v>
      </c>
      <c r="B201" s="1">
        <f>'Raw Data'!B201</f>
        <v>45695</v>
      </c>
      <c r="C201" t="str">
        <f>IFERROR(INDEX('Reference Table'!$C$2:$C$46,MATCH(D201,'Reference Table'!$A$2:$A$46,0)),"Unknown")</f>
        <v>Electric Accessories</v>
      </c>
      <c r="D201" t="str">
        <f t="array" ref="D201">IF(TRIM('Raw Data'!D201)&lt;&gt;"",TRIM('Raw Data'!D201),IFERROR(INDEX('Reference Table'!$A$2:$A$46,MATCH(VALUE('Raw Data'!E201),VALUE('Reference Table'!$B$2:$B$46),0)),"Unknown"))</f>
        <v>Elec_Earphones</v>
      </c>
      <c r="E201">
        <f>IF('Raw Data'!E201&lt;&gt;"",'Raw Data'!E201,IFERROR(INDEX('Reference Table'!$B$2:$B$32,MATCH(D201,'Reference Table'!$A$2:$A$32,0)),""))</f>
        <v>350</v>
      </c>
      <c r="F201">
        <f>IF('Raw Data'!F201&lt;&gt;"",'Raw Data'!F201,IFERROR(ROUND('Raw Data'!G201/E201,0),""))</f>
        <v>2</v>
      </c>
      <c r="G201">
        <f>IF('Raw Data'!G201&lt;&gt;"",'Raw Data'!G201,IFERROR(ROUND(E201*F201,2),""))</f>
        <v>700</v>
      </c>
      <c r="H201" t="str">
        <f>'Raw Data'!H201</f>
        <v>Cash</v>
      </c>
      <c r="I201" t="str">
        <f>IF('Raw Data'!D201="",IF(D201="Unknown","Could not recover","Filled from Price lookup"),IF(TRIM('Raw Data'!D201)&lt;&gt;'Raw Data'!D201,"Trimmed whitespace","OK"))</f>
        <v>Filled from Price lookup</v>
      </c>
      <c r="J201" t="str">
        <f t="shared" si="3"/>
        <v>OK</v>
      </c>
    </row>
    <row r="202" spans="1:10">
      <c r="A202" t="str">
        <f>'Raw Data'!A202</f>
        <v>TXN_1231</v>
      </c>
      <c r="B202" s="1">
        <f>'Raw Data'!B202</f>
        <v>45882</v>
      </c>
      <c r="C202" t="str">
        <f>IFERROR(INDEX('Reference Table'!$C$2:$C$46,MATCH(D202,'Reference Table'!$A$2:$A$46,0)),"Unknown")</f>
        <v>Food</v>
      </c>
      <c r="D202" t="str">
        <f t="array" ref="D202">IF(TRIM('Raw Data'!D202)&lt;&gt;"",TRIM('Raw Data'!D202),IFERROR(INDEX('Reference Table'!$A$2:$A$46,MATCH(VALUE('Raw Data'!E202),VALUE('Reference Table'!$B$2:$B$46),0)),"Unknown"))</f>
        <v>Food_Cereal_500g</v>
      </c>
      <c r="E202">
        <f>IF('Raw Data'!E202&lt;&gt;"",'Raw Data'!E202,IFERROR(INDEX('Reference Table'!$B$2:$B$32,MATCH(D202,'Reference Table'!$A$2:$A$32,0)),""))</f>
        <v>150</v>
      </c>
      <c r="F202">
        <f>IF('Raw Data'!F202&lt;&gt;"",'Raw Data'!F202,IFERROR(ROUND('Raw Data'!G202/E202,0),""))</f>
        <v>5</v>
      </c>
      <c r="G202">
        <f>IF('Raw Data'!G202&lt;&gt;"",'Raw Data'!G202,IFERROR(ROUND(E202*F202,2),""))</f>
        <v>750</v>
      </c>
      <c r="H202" t="str">
        <f>'Raw Data'!H202</f>
        <v>Debit Card</v>
      </c>
      <c r="I202" t="str">
        <f>IF('Raw Data'!D202="",IF(D202="Unknown","Could not recover","Filled from Price lookup"),IF(TRIM('Raw Data'!D202)&lt;&gt;'Raw Data'!D202,"Trimmed whitespace","OK"))</f>
        <v>OK</v>
      </c>
      <c r="J202" t="str">
        <f t="shared" si="3"/>
        <v>OK</v>
      </c>
    </row>
    <row r="203" spans="1:10">
      <c r="A203" t="str">
        <f>'Raw Data'!A203</f>
        <v>TXN_1488</v>
      </c>
      <c r="B203" s="1">
        <f>'Raw Data'!B203</f>
        <v>45775</v>
      </c>
      <c r="C203" t="str">
        <f>IFERROR(INDEX('Reference Table'!$C$2:$C$46,MATCH(D203,'Reference Table'!$A$2:$A$46,0)),"Unknown")</f>
        <v>Milk Products</v>
      </c>
      <c r="D203" t="str">
        <f t="array" ref="D203">IF(TRIM('Raw Data'!D203)&lt;&gt;"",TRIM('Raw Data'!D203),IFERROR(INDEX('Reference Table'!$A$2:$A$46,MATCH(VALUE('Raw Data'!E203),VALUE('Reference Table'!$B$2:$B$46),0)),"Unknown"))</f>
        <v>Milk_Ghee_500ml</v>
      </c>
      <c r="E203" t="str">
        <f>IF('Raw Data'!E203&lt;&gt;"",'Raw Data'!E203,IFERROR(INDEX('Reference Table'!$B$2:$B$32,MATCH(D203,'Reference Table'!$A$2:$A$32,0)),""))</f>
        <v/>
      </c>
      <c r="F203">
        <f>IF('Raw Data'!F203&lt;&gt;"",'Raw Data'!F203,IFERROR(ROUND('Raw Data'!G203/E203,0),""))</f>
        <v>2</v>
      </c>
      <c r="G203">
        <f>IF('Raw Data'!G203&lt;&gt;"",'Raw Data'!G203,IFERROR(ROUND(E203*F203,2),""))</f>
        <v>700</v>
      </c>
      <c r="H203" t="str">
        <f>'Raw Data'!H203</f>
        <v>Debit Card</v>
      </c>
      <c r="I203" t="str">
        <f>IF('Raw Data'!D203="",IF(D203="Unknown","Could not recover","Filled from Price lookup"),IF(TRIM('Raw Data'!D203)&lt;&gt;'Raw Data'!D203,"Trimmed whitespace","OK"))</f>
        <v>OK</v>
      </c>
      <c r="J203" t="str">
        <f t="shared" si="3"/>
        <v>Incomplete</v>
      </c>
    </row>
    <row r="204" spans="1:10">
      <c r="A204" t="str">
        <f>'Raw Data'!A204</f>
        <v>TXN_1217</v>
      </c>
      <c r="B204" s="1">
        <f>'Raw Data'!B204</f>
        <v>45880</v>
      </c>
      <c r="C204" t="str">
        <f>IFERROR(INDEX('Reference Table'!$C$2:$C$46,MATCH(D204,'Reference Table'!$A$2:$A$46,0)),"Unknown")</f>
        <v>Food</v>
      </c>
      <c r="D204" t="str">
        <f t="array" ref="D204">IF(TRIM('Raw Data'!D204)&lt;&gt;"",TRIM('Raw Data'!D204),IFERROR(INDEX('Reference Table'!$A$2:$A$46,MATCH(VALUE('Raw Data'!E204),VALUE('Reference Table'!$B$2:$B$46),0)),"Unknown"))</f>
        <v>Food_Rice_1kg</v>
      </c>
      <c r="E204">
        <f>IF('Raw Data'!E204&lt;&gt;"",'Raw Data'!E204,IFERROR(INDEX('Reference Table'!$B$2:$B$32,MATCH(D204,'Reference Table'!$A$2:$A$32,0)),""))</f>
        <v>70</v>
      </c>
      <c r="F204">
        <f>IF('Raw Data'!F204&lt;&gt;"",'Raw Data'!F204,IFERROR(ROUND('Raw Data'!G204/E204,0),""))</f>
        <v>5</v>
      </c>
      <c r="G204">
        <f>IF('Raw Data'!G204&lt;&gt;"",'Raw Data'!G204,IFERROR(ROUND(E204*F204,2),""))</f>
        <v>350</v>
      </c>
      <c r="H204" t="str">
        <f>'Raw Data'!H204</f>
        <v>Mobile Payment</v>
      </c>
      <c r="I204" t="str">
        <f>IF('Raw Data'!D204="",IF(D204="Unknown","Could not recover","Filled from Price lookup"),IF(TRIM('Raw Data'!D204)&lt;&gt;'Raw Data'!D204,"Trimmed whitespace","OK"))</f>
        <v>OK</v>
      </c>
      <c r="J204" t="str">
        <f t="shared" si="3"/>
        <v>OK</v>
      </c>
    </row>
    <row r="205" spans="1:10">
      <c r="A205" t="str">
        <f>'Raw Data'!A205</f>
        <v>TXN_1380</v>
      </c>
      <c r="B205" s="1">
        <f>'Raw Data'!B205</f>
        <v>45689</v>
      </c>
      <c r="C205" t="str">
        <f>IFERROR(INDEX('Reference Table'!$C$2:$C$46,MATCH(D205,'Reference Table'!$A$2:$A$46,0)),"Unknown")</f>
        <v>Computers</v>
      </c>
      <c r="D205" t="str">
        <f t="array" ref="D205">IF(TRIM('Raw Data'!D205)&lt;&gt;"",TRIM('Raw Data'!D205),IFERROR(INDEX('Reference Table'!$A$2:$A$46,MATCH(VALUE('Raw Data'!E205),VALUE('Reference Table'!$B$2:$B$46),0)),"Unknown"))</f>
        <v>Comp_Keyboard</v>
      </c>
      <c r="E205">
        <f>IF('Raw Data'!E205&lt;&gt;"",'Raw Data'!E205,IFERROR(INDEX('Reference Table'!$B$2:$B$32,MATCH(D205,'Reference Table'!$A$2:$A$32,0)),""))</f>
        <v>800</v>
      </c>
      <c r="F205">
        <f>IF('Raw Data'!F205&lt;&gt;"",'Raw Data'!F205,IFERROR(ROUND('Raw Data'!G205/E205,0),""))</f>
        <v>2</v>
      </c>
      <c r="G205">
        <f>IF('Raw Data'!G205&lt;&gt;"",'Raw Data'!G205,IFERROR(ROUND(E205*F205,2),""))</f>
        <v>1600</v>
      </c>
      <c r="H205" t="str">
        <f>'Raw Data'!H205</f>
        <v>Credit Card</v>
      </c>
      <c r="I205" t="str">
        <f>IF('Raw Data'!D205="",IF(D205="Unknown","Could not recover","Filled from Price lookup"),IF(TRIM('Raw Data'!D205)&lt;&gt;'Raw Data'!D205,"Trimmed whitespace","OK"))</f>
        <v>OK</v>
      </c>
      <c r="J205" t="str">
        <f t="shared" si="3"/>
        <v>OK</v>
      </c>
    </row>
    <row r="206" spans="1:10">
      <c r="A206" t="str">
        <f>'Raw Data'!A206</f>
        <v>TXN_1423</v>
      </c>
      <c r="B206" s="1">
        <f>'Raw Data'!B206</f>
        <v>45693</v>
      </c>
      <c r="C206" t="str">
        <f>IFERROR(INDEX('Reference Table'!$C$2:$C$46,MATCH(D206,'Reference Table'!$A$2:$A$46,0)),"Unknown")</f>
        <v>Beverages</v>
      </c>
      <c r="D206" t="str">
        <f t="array" ref="D206">IF(TRIM('Raw Data'!D206)&lt;&gt;"",TRIM('Raw Data'!D206),IFERROR(INDEX('Reference Table'!$A$2:$A$46,MATCH(VALUE('Raw Data'!E206),VALUE('Reference Table'!$B$2:$B$46),0)),"Unknown"))</f>
        <v>Bev_Water_1L</v>
      </c>
      <c r="E206">
        <f>IF('Raw Data'!E206&lt;&gt;"",'Raw Data'!E206,IFERROR(INDEX('Reference Table'!$B$2:$B$32,MATCH(D206,'Reference Table'!$A$2:$A$32,0)),""))</f>
        <v>20</v>
      </c>
      <c r="F206">
        <f>IF('Raw Data'!F206&lt;&gt;"",'Raw Data'!F206,IFERROR(ROUND('Raw Data'!G206/E206,0),""))</f>
        <v>1</v>
      </c>
      <c r="G206">
        <f>IF('Raw Data'!G206&lt;&gt;"",'Raw Data'!G206,IFERROR(ROUND(E206*F206,2),""))</f>
        <v>20</v>
      </c>
      <c r="H206" t="str">
        <f>'Raw Data'!H206</f>
        <v>Debit Card</v>
      </c>
      <c r="I206" t="str">
        <f>IF('Raw Data'!D206="",IF(D206="Unknown","Could not recover","Filled from Price lookup"),IF(TRIM('Raw Data'!D206)&lt;&gt;'Raw Data'!D206,"Trimmed whitespace","OK"))</f>
        <v>OK</v>
      </c>
      <c r="J206" t="str">
        <f t="shared" si="3"/>
        <v>OK</v>
      </c>
    </row>
    <row r="207" spans="1:10">
      <c r="A207" t="str">
        <f>'Raw Data'!A207</f>
        <v>TXN_1243</v>
      </c>
      <c r="B207" s="1">
        <f>'Raw Data'!B207</f>
        <v>45808</v>
      </c>
      <c r="C207" t="str">
        <f>IFERROR(INDEX('Reference Table'!$C$2:$C$46,MATCH(D207,'Reference Table'!$A$2:$A$46,0)),"Unknown")</f>
        <v>Computers</v>
      </c>
      <c r="D207" t="str">
        <f t="array" ref="D207">IF(TRIM('Raw Data'!D207)&lt;&gt;"",TRIM('Raw Data'!D207),IFERROR(INDEX('Reference Table'!$A$2:$A$46,MATCH(VALUE('Raw Data'!E207),VALUE('Reference Table'!$B$2:$B$46),0)),"Unknown"))</f>
        <v>Comp_Webcam</v>
      </c>
      <c r="E207">
        <f>IF('Raw Data'!E207&lt;&gt;"",'Raw Data'!E207,IFERROR(INDEX('Reference Table'!$B$2:$B$32,MATCH(D207,'Reference Table'!$A$2:$A$32,0)),""))</f>
        <v>1200</v>
      </c>
      <c r="F207">
        <f>IF('Raw Data'!F207&lt;&gt;"",'Raw Data'!F207,IFERROR(ROUND('Raw Data'!G207/E207,0),""))</f>
        <v>4</v>
      </c>
      <c r="G207">
        <f>IF('Raw Data'!G207&lt;&gt;"",'Raw Data'!G207,IFERROR(ROUND(E207*F207,2),""))</f>
        <v>4800</v>
      </c>
      <c r="H207" t="str">
        <f>'Raw Data'!H207</f>
        <v>Credit Card</v>
      </c>
      <c r="I207" t="str">
        <f>IF('Raw Data'!D207="",IF(D207="Unknown","Could not recover","Filled from Price lookup"),IF(TRIM('Raw Data'!D207)&lt;&gt;'Raw Data'!D207,"Trimmed whitespace","OK"))</f>
        <v>OK</v>
      </c>
      <c r="J207" t="str">
        <f t="shared" si="3"/>
        <v>OK</v>
      </c>
    </row>
    <row r="208" spans="1:10">
      <c r="A208" t="str">
        <f>'Raw Data'!A208</f>
        <v>TXN_1598</v>
      </c>
      <c r="B208" s="1">
        <f>'Raw Data'!B208</f>
        <v>45687</v>
      </c>
      <c r="C208" t="str">
        <f>IFERROR(INDEX('Reference Table'!$C$2:$C$46,MATCH(D208,'Reference Table'!$A$2:$A$46,0)),"Unknown")</f>
        <v>Patisserie</v>
      </c>
      <c r="D208" t="str">
        <f t="array" ref="D208">IF(TRIM('Raw Data'!D208)&lt;&gt;"",TRIM('Raw Data'!D208),IFERROR(INDEX('Reference Table'!$A$2:$A$46,MATCH(VALUE('Raw Data'!E208),VALUE('Reference Table'!$B$2:$B$46),0)),"Unknown"))</f>
        <v>Pat_Croissant</v>
      </c>
      <c r="E208">
        <f>IF('Raw Data'!E208&lt;&gt;"",'Raw Data'!E208,IFERROR(INDEX('Reference Table'!$B$2:$B$32,MATCH(D208,'Reference Table'!$A$2:$A$32,0)),""))</f>
        <v>40</v>
      </c>
      <c r="F208">
        <f>IF('Raw Data'!F208&lt;&gt;"",'Raw Data'!F208,IFERROR(ROUND('Raw Data'!G208/E208,0),""))</f>
        <v>3</v>
      </c>
      <c r="G208">
        <f>IF('Raw Data'!G208&lt;&gt;"",'Raw Data'!G208,IFERROR(ROUND(E208*F208,2),""))</f>
        <v>180</v>
      </c>
      <c r="H208" t="str">
        <f>'Raw Data'!H208</f>
        <v>Credit Card</v>
      </c>
      <c r="I208" t="str">
        <f>IF('Raw Data'!D208="",IF(D208="Unknown","Could not recover","Filled from Price lookup"),IF(TRIM('Raw Data'!D208)&lt;&gt;'Raw Data'!D208,"Trimmed whitespace","OK"))</f>
        <v>OK</v>
      </c>
      <c r="J208" t="str">
        <f t="shared" si="3"/>
        <v>Mismatch</v>
      </c>
    </row>
    <row r="209" spans="1:10">
      <c r="A209" t="str">
        <f>'Raw Data'!A209</f>
        <v>TXN_1382</v>
      </c>
      <c r="B209" s="1">
        <f>'Raw Data'!B209</f>
        <v>45746</v>
      </c>
      <c r="C209" t="str">
        <f>IFERROR(INDEX('Reference Table'!$C$2:$C$46,MATCH(D209,'Reference Table'!$A$2:$A$46,0)),"Unknown")</f>
        <v>Butchers</v>
      </c>
      <c r="D209" t="str">
        <f t="array" ref="D209">IF(TRIM('Raw Data'!D209)&lt;&gt;"",TRIM('Raw Data'!D209),IFERROR(INDEX('Reference Table'!$A$2:$A$46,MATCH(VALUE('Raw Data'!E209),VALUE('Reference Table'!$B$2:$B$46),0)),"Unknown"))</f>
        <v>Meat_Chicken_1kg</v>
      </c>
      <c r="E209">
        <f>IF('Raw Data'!E209&lt;&gt;"",'Raw Data'!E209,IFERROR(INDEX('Reference Table'!$B$2:$B$32,MATCH(D209,'Reference Table'!$A$2:$A$32,0)),""))</f>
        <v>220</v>
      </c>
      <c r="F209">
        <f>IF('Raw Data'!F209&lt;&gt;"",'Raw Data'!F209,IFERROR(ROUND('Raw Data'!G209/E209,0),""))</f>
        <v>6</v>
      </c>
      <c r="G209">
        <f>IF('Raw Data'!G209&lt;&gt;"",'Raw Data'!G209,IFERROR(ROUND(E209*F209,2),""))</f>
        <v>1320</v>
      </c>
      <c r="H209" t="str">
        <f>'Raw Data'!H209</f>
        <v>Cash</v>
      </c>
      <c r="I209" t="str">
        <f>IF('Raw Data'!D209="",IF(D209="Unknown","Could not recover","Filled from Price lookup"),IF(TRIM('Raw Data'!D209)&lt;&gt;'Raw Data'!D209,"Trimmed whitespace","OK"))</f>
        <v>OK</v>
      </c>
      <c r="J209" t="str">
        <f t="shared" si="3"/>
        <v>OK</v>
      </c>
    </row>
    <row r="210" spans="1:10">
      <c r="A210" t="str">
        <f>'Raw Data'!A210</f>
        <v>TXN_1513</v>
      </c>
      <c r="B210" s="1">
        <f>'Raw Data'!B210</f>
        <v>45777</v>
      </c>
      <c r="C210" t="str">
        <f>IFERROR(INDEX('Reference Table'!$C$2:$C$46,MATCH(D210,'Reference Table'!$A$2:$A$46,0)),"Unknown")</f>
        <v>Computers</v>
      </c>
      <c r="D210" t="str">
        <f t="array" ref="D210">IF(TRIM('Raw Data'!D210)&lt;&gt;"",TRIM('Raw Data'!D210),IFERROR(INDEX('Reference Table'!$A$2:$A$46,MATCH(VALUE('Raw Data'!E210),VALUE('Reference Table'!$B$2:$B$46),0)),"Unknown"))</f>
        <v>Comp_USB_Drive_32GB</v>
      </c>
      <c r="E210">
        <f>IF('Raw Data'!E210&lt;&gt;"",'Raw Data'!E210,IFERROR(INDEX('Reference Table'!$B$2:$B$32,MATCH(D210,'Reference Table'!$A$2:$A$32,0)),""))</f>
        <v>450</v>
      </c>
      <c r="F210">
        <f>IF('Raw Data'!F210&lt;&gt;"",'Raw Data'!F210,IFERROR(ROUND('Raw Data'!G210/E210,0),""))</f>
        <v>4</v>
      </c>
      <c r="G210">
        <f>IF('Raw Data'!G210&lt;&gt;"",'Raw Data'!G210,IFERROR(ROUND(E210*F210,2),""))</f>
        <v>1800</v>
      </c>
      <c r="H210" t="str">
        <f>'Raw Data'!H210</f>
        <v>Cash</v>
      </c>
      <c r="I210" t="str">
        <f>IF('Raw Data'!D210="",IF(D210="Unknown","Could not recover","Filled from Price lookup"),IF(TRIM('Raw Data'!D210)&lt;&gt;'Raw Data'!D210,"Trimmed whitespace","OK"))</f>
        <v>OK</v>
      </c>
      <c r="J210" t="str">
        <f t="shared" si="3"/>
        <v>OK</v>
      </c>
    </row>
    <row r="211" spans="1:10">
      <c r="A211" t="str">
        <f>'Raw Data'!A211</f>
        <v>TXN_1416</v>
      </c>
      <c r="B211" s="1">
        <f>'Raw Data'!B211</f>
        <v>45768</v>
      </c>
      <c r="C211" t="str">
        <f>IFERROR(INDEX('Reference Table'!$C$2:$C$46,MATCH(D211,'Reference Table'!$A$2:$A$46,0)),"Unknown")</f>
        <v>Beverages</v>
      </c>
      <c r="D211" t="str">
        <f t="array" ref="D211">IF(TRIM('Raw Data'!D211)&lt;&gt;"",TRIM('Raw Data'!D211),IFERROR(INDEX('Reference Table'!$A$2:$A$46,MATCH(VALUE('Raw Data'!E211),VALUE('Reference Table'!$B$2:$B$46),0)),"Unknown"))</f>
        <v>Bev_Cola_1L</v>
      </c>
      <c r="E211">
        <f>IF('Raw Data'!E211&lt;&gt;"",'Raw Data'!E211,IFERROR(INDEX('Reference Table'!$B$2:$B$32,MATCH(D211,'Reference Table'!$A$2:$A$32,0)),""))</f>
        <v>60</v>
      </c>
      <c r="F211">
        <f>IF('Raw Data'!F211&lt;&gt;"",'Raw Data'!F211,IFERROR(ROUND('Raw Data'!G211/E211,0),""))</f>
        <v>1</v>
      </c>
      <c r="G211">
        <f>IF('Raw Data'!G211&lt;&gt;"",'Raw Data'!G211,IFERROR(ROUND(E211*F211,2),""))</f>
        <v>60</v>
      </c>
      <c r="H211" t="str">
        <f>'Raw Data'!H211</f>
        <v>Credit Card</v>
      </c>
      <c r="I211" t="str">
        <f>IF('Raw Data'!D211="",IF(D211="Unknown","Could not recover","Filled from Price lookup"),IF(TRIM('Raw Data'!D211)&lt;&gt;'Raw Data'!D211,"Trimmed whitespace","OK"))</f>
        <v>OK</v>
      </c>
      <c r="J211" t="str">
        <f t="shared" si="3"/>
        <v>OK</v>
      </c>
    </row>
    <row r="212" spans="1:10">
      <c r="A212" t="str">
        <f>'Raw Data'!A212</f>
        <v>TXN_1019</v>
      </c>
      <c r="B212" s="1">
        <f>'Raw Data'!B212</f>
        <v>45738</v>
      </c>
      <c r="C212" t="str">
        <f>IFERROR(INDEX('Reference Table'!$C$2:$C$46,MATCH(D212,'Reference Table'!$A$2:$A$46,0)),"Unknown")</f>
        <v>Furniture</v>
      </c>
      <c r="D212" t="str">
        <f t="array" ref="D212">IF(TRIM('Raw Data'!D212)&lt;&gt;"",TRIM('Raw Data'!D212),IFERROR(INDEX('Reference Table'!$A$2:$A$46,MATCH(VALUE('Raw Data'!E212),VALUE('Reference Table'!$B$2:$B$46),0)),"Unknown"))</f>
        <v>Furn_Small_Table</v>
      </c>
      <c r="E212">
        <f>IF('Raw Data'!E212&lt;&gt;"",'Raw Data'!E212,IFERROR(INDEX('Reference Table'!$B$2:$B$32,MATCH(D212,'Reference Table'!$A$2:$A$32,0)),""))</f>
        <v>3200</v>
      </c>
      <c r="F212">
        <f>IF('Raw Data'!F212&lt;&gt;"",'Raw Data'!F212,IFERROR(ROUND('Raw Data'!G212/E212,0),""))</f>
        <v>6</v>
      </c>
      <c r="G212">
        <f>IF('Raw Data'!G212&lt;&gt;"",'Raw Data'!G212,IFERROR(ROUND(E212*F212,2),""))</f>
        <v>19200</v>
      </c>
      <c r="H212" t="str">
        <f>'Raw Data'!H212</f>
        <v>Credit Card</v>
      </c>
      <c r="I212" t="str">
        <f>IF('Raw Data'!D212="",IF(D212="Unknown","Could not recover","Filled from Price lookup"),IF(TRIM('Raw Data'!D212)&lt;&gt;'Raw Data'!D212,"Trimmed whitespace","OK"))</f>
        <v>OK</v>
      </c>
      <c r="J212" t="str">
        <f t="shared" si="3"/>
        <v>OK</v>
      </c>
    </row>
    <row r="213" spans="1:10">
      <c r="A213" t="str">
        <f>'Raw Data'!A213</f>
        <v>TXN_1069</v>
      </c>
      <c r="B213" s="1">
        <f>'Raw Data'!B213</f>
        <v>45687</v>
      </c>
      <c r="C213" t="str">
        <f>IFERROR(INDEX('Reference Table'!$C$2:$C$46,MATCH(D213,'Reference Table'!$A$2:$A$46,0)),"Unknown")</f>
        <v>Food</v>
      </c>
      <c r="D213" t="str">
        <f t="array" ref="D213">IF(TRIM('Raw Data'!D213)&lt;&gt;"",TRIM('Raw Data'!D213),IFERROR(INDEX('Reference Table'!$A$2:$A$46,MATCH(VALUE('Raw Data'!E213),VALUE('Reference Table'!$B$2:$B$46),0)),"Unknown"))</f>
        <v>Food_Cereal_500g</v>
      </c>
      <c r="E213">
        <f>IF('Raw Data'!E213&lt;&gt;"",'Raw Data'!E213,IFERROR(INDEX('Reference Table'!$B$2:$B$32,MATCH(D213,'Reference Table'!$A$2:$A$32,0)),""))</f>
        <v>150</v>
      </c>
      <c r="F213">
        <f>IF('Raw Data'!F213&lt;&gt;"",'Raw Data'!F213,IFERROR(ROUND('Raw Data'!G213/E213,0),""))</f>
        <v>3</v>
      </c>
      <c r="G213">
        <f>IF('Raw Data'!G213&lt;&gt;"",'Raw Data'!G213,IFERROR(ROUND(E213*F213,2),""))</f>
        <v>450</v>
      </c>
      <c r="H213" t="str">
        <f>'Raw Data'!H213</f>
        <v>Cash</v>
      </c>
      <c r="I213" t="str">
        <f>IF('Raw Data'!D213="",IF(D213="Unknown","Could not recover","Filled from Price lookup"),IF(TRIM('Raw Data'!D213)&lt;&gt;'Raw Data'!D213,"Trimmed whitespace","OK"))</f>
        <v>OK</v>
      </c>
      <c r="J213" t="str">
        <f t="shared" si="3"/>
        <v>OK</v>
      </c>
    </row>
    <row r="214" spans="1:10">
      <c r="A214" t="str">
        <f>'Raw Data'!A214</f>
        <v>TXN_1125</v>
      </c>
      <c r="B214" s="1">
        <f>'Raw Data'!B214</f>
        <v>45670</v>
      </c>
      <c r="C214" t="str">
        <f>IFERROR(INDEX('Reference Table'!$C$2:$C$46,MATCH(D214,'Reference Table'!$A$2:$A$46,0)),"Unknown")</f>
        <v>Electric Accessories</v>
      </c>
      <c r="D214" t="str">
        <f t="array" ref="D214">IF(TRIM('Raw Data'!D214)&lt;&gt;"",TRIM('Raw Data'!D214),IFERROR(INDEX('Reference Table'!$A$2:$A$46,MATCH(VALUE('Raw Data'!E214),VALUE('Reference Table'!$B$2:$B$46),0)),"Unknown"))</f>
        <v>Elec_Powerbank</v>
      </c>
      <c r="E214">
        <f>IF('Raw Data'!E214&lt;&gt;"",'Raw Data'!E214,IFERROR(INDEX('Reference Table'!$B$2:$B$32,MATCH(D214,'Reference Table'!$A$2:$A$32,0)),""))</f>
        <v>900</v>
      </c>
      <c r="F214">
        <f>IF('Raw Data'!F214&lt;&gt;"",'Raw Data'!F214,IFERROR(ROUND('Raw Data'!G214/E214,0),""))</f>
        <v>2</v>
      </c>
      <c r="G214">
        <f>IF('Raw Data'!G214&lt;&gt;"",'Raw Data'!G214,IFERROR(ROUND(E214*F214,2),""))</f>
        <v>2700</v>
      </c>
      <c r="H214" t="str">
        <f>'Raw Data'!H214</f>
        <v>Debit Card</v>
      </c>
      <c r="I214" t="str">
        <f>IF('Raw Data'!D214="",IF(D214="Unknown","Could not recover","Filled from Price lookup"),IF(TRIM('Raw Data'!D214)&lt;&gt;'Raw Data'!D214,"Trimmed whitespace","OK"))</f>
        <v>OK</v>
      </c>
      <c r="J214" t="str">
        <f t="shared" si="3"/>
        <v>Mismatch</v>
      </c>
    </row>
    <row r="215" spans="1:10">
      <c r="A215" t="str">
        <f>'Raw Data'!A215</f>
        <v>TXN_1549</v>
      </c>
      <c r="B215" s="1">
        <f>'Raw Data'!B215</f>
        <v>45697</v>
      </c>
      <c r="C215" t="str">
        <f>IFERROR(INDEX('Reference Table'!$C$2:$C$46,MATCH(D215,'Reference Table'!$A$2:$A$46,0)),"Unknown")</f>
        <v>Food</v>
      </c>
      <c r="D215" t="str">
        <f t="array" ref="D215">IF(TRIM('Raw Data'!D215)&lt;&gt;"",TRIM('Raw Data'!D215),IFERROR(INDEX('Reference Table'!$A$2:$A$46,MATCH(VALUE('Raw Data'!E215),VALUE('Reference Table'!$B$2:$B$46),0)),"Unknown"))</f>
        <v>Food_Rice_1kg</v>
      </c>
      <c r="E215">
        <f>IF('Raw Data'!E215&lt;&gt;"",'Raw Data'!E215,IFERROR(INDEX('Reference Table'!$B$2:$B$32,MATCH(D215,'Reference Table'!$A$2:$A$32,0)),""))</f>
        <v>70</v>
      </c>
      <c r="F215">
        <f>IF('Raw Data'!F215&lt;&gt;"",'Raw Data'!F215,IFERROR(ROUND('Raw Data'!G215/E215,0),""))</f>
        <v>3</v>
      </c>
      <c r="G215">
        <f>IF('Raw Data'!G215&lt;&gt;"",'Raw Data'!G215,IFERROR(ROUND(E215*F215,2),""))</f>
        <v>210</v>
      </c>
      <c r="H215" t="str">
        <f>'Raw Data'!H215</f>
        <v>Mobile Payment</v>
      </c>
      <c r="I215" t="str">
        <f>IF('Raw Data'!D215="",IF(D215="Unknown","Could not recover","Filled from Price lookup"),IF(TRIM('Raw Data'!D215)&lt;&gt;'Raw Data'!D215,"Trimmed whitespace","OK"))</f>
        <v>OK</v>
      </c>
      <c r="J215" t="str">
        <f t="shared" si="3"/>
        <v>OK</v>
      </c>
    </row>
    <row r="216" spans="1:10">
      <c r="A216" t="str">
        <f>'Raw Data'!A216</f>
        <v>TXN_1106</v>
      </c>
      <c r="B216" s="1">
        <f>'Raw Data'!B216</f>
        <v>45714</v>
      </c>
      <c r="C216" t="str">
        <f>IFERROR(INDEX('Reference Table'!$C$2:$C$46,MATCH(D216,'Reference Table'!$A$2:$A$46,0)),"Unknown")</f>
        <v>Food</v>
      </c>
      <c r="D216" t="str">
        <f t="array" ref="D216">IF(TRIM('Raw Data'!D216)&lt;&gt;"",TRIM('Raw Data'!D216),IFERROR(INDEX('Reference Table'!$A$2:$A$46,MATCH(VALUE('Raw Data'!E216),VALUE('Reference Table'!$B$2:$B$46),0)),"Unknown"))</f>
        <v>Food_Wheat_1kg</v>
      </c>
      <c r="E216">
        <f>IF('Raw Data'!E216&lt;&gt;"",'Raw Data'!E216,IFERROR(INDEX('Reference Table'!$B$2:$B$32,MATCH(D216,'Reference Table'!$A$2:$A$32,0)),""))</f>
        <v>55</v>
      </c>
      <c r="F216">
        <f>IF('Raw Data'!F216&lt;&gt;"",'Raw Data'!F216,IFERROR(ROUND('Raw Data'!G216/E216,0),""))</f>
        <v>4</v>
      </c>
      <c r="G216">
        <f>IF('Raw Data'!G216&lt;&gt;"",'Raw Data'!G216,IFERROR(ROUND(E216*F216,2),""))</f>
        <v>220</v>
      </c>
      <c r="H216" t="str">
        <f>'Raw Data'!H216</f>
        <v>Credit Card</v>
      </c>
      <c r="I216" t="str">
        <f>IF('Raw Data'!D216="",IF(D216="Unknown","Could not recover","Filled from Price lookup"),IF(TRIM('Raw Data'!D216)&lt;&gt;'Raw Data'!D216,"Trimmed whitespace","OK"))</f>
        <v>OK</v>
      </c>
      <c r="J216" t="str">
        <f t="shared" si="3"/>
        <v>OK</v>
      </c>
    </row>
    <row r="217" spans="1:10">
      <c r="A217" t="str">
        <f>'Raw Data'!A217</f>
        <v>TXN_1124</v>
      </c>
      <c r="B217" s="1">
        <f>'Raw Data'!B217</f>
        <v>45822</v>
      </c>
      <c r="C217" t="str">
        <f>IFERROR(INDEX('Reference Table'!$C$2:$C$46,MATCH(D217,'Reference Table'!$A$2:$A$46,0)),"Unknown")</f>
        <v>Beverages</v>
      </c>
      <c r="D217" t="str">
        <f t="array" ref="D217">IF(TRIM('Raw Data'!D217)&lt;&gt;"",TRIM('Raw Data'!D217),IFERROR(INDEX('Reference Table'!$A$2:$A$46,MATCH(VALUE('Raw Data'!E217),VALUE('Reference Table'!$B$2:$B$46),0)),"Unknown"))</f>
        <v>Bev_Juice_500ml</v>
      </c>
      <c r="E217">
        <f>IF('Raw Data'!E217&lt;&gt;"",'Raw Data'!E217,IFERROR(INDEX('Reference Table'!$B$2:$B$32,MATCH(D217,'Reference Table'!$A$2:$A$32,0)),""))</f>
        <v>45</v>
      </c>
      <c r="F217">
        <f>IF('Raw Data'!F217&lt;&gt;"",'Raw Data'!F217,IFERROR(ROUND('Raw Data'!G217/E217,0),""))</f>
        <v>1</v>
      </c>
      <c r="G217">
        <f>IF('Raw Data'!G217&lt;&gt;"",'Raw Data'!G217,IFERROR(ROUND(E217*F217,2),""))</f>
        <v>45</v>
      </c>
      <c r="H217" t="str">
        <f>'Raw Data'!H217</f>
        <v>Mobile Payment</v>
      </c>
      <c r="I217" t="str">
        <f>IF('Raw Data'!D217="",IF(D217="Unknown","Could not recover","Filled from Price lookup"),IF(TRIM('Raw Data'!D217)&lt;&gt;'Raw Data'!D217,"Trimmed whitespace","OK"))</f>
        <v>OK</v>
      </c>
      <c r="J217" t="str">
        <f t="shared" si="3"/>
        <v>OK</v>
      </c>
    </row>
    <row r="218" spans="1:10">
      <c r="A218" t="str">
        <f>'Raw Data'!A218</f>
        <v>TXN_1082</v>
      </c>
      <c r="B218" s="1">
        <f>'Raw Data'!B218</f>
        <v>45863</v>
      </c>
      <c r="C218" t="str">
        <f>IFERROR(INDEX('Reference Table'!$C$2:$C$46,MATCH(D218,'Reference Table'!$A$2:$A$46,0)),"Unknown")</f>
        <v>Butchers</v>
      </c>
      <c r="D218" t="str">
        <f t="array" ref="D218">IF(TRIM('Raw Data'!D218)&lt;&gt;"",TRIM('Raw Data'!D218),IFERROR(INDEX('Reference Table'!$A$2:$A$46,MATCH(VALUE('Raw Data'!E218),VALUE('Reference Table'!$B$2:$B$46),0)),"Unknown"))</f>
        <v>Meat_Mutton_1kg</v>
      </c>
      <c r="E218">
        <f>IF('Raw Data'!E218&lt;&gt;"",'Raw Data'!E218,IFERROR(INDEX('Reference Table'!$B$2:$B$32,MATCH(D218,'Reference Table'!$A$2:$A$32,0)),""))</f>
        <v>650</v>
      </c>
      <c r="F218">
        <f>IF('Raw Data'!F218&lt;&gt;"",'Raw Data'!F218,IFERROR(ROUND('Raw Data'!G218/E218,0),""))</f>
        <v>4</v>
      </c>
      <c r="G218">
        <f>IF('Raw Data'!G218&lt;&gt;"",'Raw Data'!G218,IFERROR(ROUND(E218*F218,2),""))</f>
        <v>2600</v>
      </c>
      <c r="H218" t="str">
        <f>'Raw Data'!H218</f>
        <v>Credit Card</v>
      </c>
      <c r="I218" t="str">
        <f>IF('Raw Data'!D218="",IF(D218="Unknown","Could not recover","Filled from Price lookup"),IF(TRIM('Raw Data'!D218)&lt;&gt;'Raw Data'!D218,"Trimmed whitespace","OK"))</f>
        <v>OK</v>
      </c>
      <c r="J218" t="str">
        <f t="shared" si="3"/>
        <v>OK</v>
      </c>
    </row>
    <row r="219" spans="1:10">
      <c r="A219" t="str">
        <f>'Raw Data'!A219</f>
        <v>TXN_1341</v>
      </c>
      <c r="B219" s="1">
        <f>'Raw Data'!B219</f>
        <v>45731</v>
      </c>
      <c r="C219" t="str">
        <f>IFERROR(INDEX('Reference Table'!$C$2:$C$46,MATCH(D219,'Reference Table'!$A$2:$A$46,0)),"Unknown")</f>
        <v>Food</v>
      </c>
      <c r="D219" t="str">
        <f t="array" ref="D219">IF(TRIM('Raw Data'!D219)&lt;&gt;"",TRIM('Raw Data'!D219),IFERROR(INDEX('Reference Table'!$A$2:$A$46,MATCH(VALUE('Raw Data'!E219),VALUE('Reference Table'!$B$2:$B$46),0)),"Unknown"))</f>
        <v>Food_Cereal_500g</v>
      </c>
      <c r="E219">
        <f>IF('Raw Data'!E219&lt;&gt;"",'Raw Data'!E219,IFERROR(INDEX('Reference Table'!$B$2:$B$32,MATCH(D219,'Reference Table'!$A$2:$A$32,0)),""))</f>
        <v>150</v>
      </c>
      <c r="F219">
        <f>IF('Raw Data'!F219&lt;&gt;"",'Raw Data'!F219,IFERROR(ROUND('Raw Data'!G219/E219,0),""))</f>
        <v>1</v>
      </c>
      <c r="G219">
        <f>IF('Raw Data'!G219&lt;&gt;"",'Raw Data'!G219,IFERROR(ROUND(E219*F219,2),""))</f>
        <v>150</v>
      </c>
      <c r="H219" t="str">
        <f>'Raw Data'!H219</f>
        <v>Mobile Payment</v>
      </c>
      <c r="I219" t="str">
        <f>IF('Raw Data'!D219="",IF(D219="Unknown","Could not recover","Filled from Price lookup"),IF(TRIM('Raw Data'!D219)&lt;&gt;'Raw Data'!D219,"Trimmed whitespace","OK"))</f>
        <v>OK</v>
      </c>
      <c r="J219" t="str">
        <f t="shared" si="3"/>
        <v>OK</v>
      </c>
    </row>
    <row r="220" spans="1:10">
      <c r="A220" t="str">
        <f>'Raw Data'!A220</f>
        <v>TXN_1107</v>
      </c>
      <c r="B220" s="1">
        <f>'Raw Data'!B220</f>
        <v>45670</v>
      </c>
      <c r="C220" t="str">
        <f>IFERROR(INDEX('Reference Table'!$C$2:$C$46,MATCH(D220,'Reference Table'!$A$2:$A$46,0)),"Unknown")</f>
        <v>Computers</v>
      </c>
      <c r="D220" t="str">
        <f t="array" ref="D220">IF(TRIM('Raw Data'!D220)&lt;&gt;"",TRIM('Raw Data'!D220),IFERROR(INDEX('Reference Table'!$A$2:$A$46,MATCH(VALUE('Raw Data'!E220),VALUE('Reference Table'!$B$2:$B$46),0)),"Unknown"))</f>
        <v>Comp_HDMI_Cable</v>
      </c>
      <c r="E220">
        <f>IF('Raw Data'!E220&lt;&gt;"",'Raw Data'!E220,IFERROR(INDEX('Reference Table'!$B$2:$B$32,MATCH(D220,'Reference Table'!$A$2:$A$32,0)),""))</f>
        <v>300</v>
      </c>
      <c r="F220">
        <f>IF('Raw Data'!F220&lt;&gt;"",'Raw Data'!F220,IFERROR(ROUND('Raw Data'!G220/E220,0),""))</f>
        <v>4</v>
      </c>
      <c r="G220">
        <f>IF('Raw Data'!G220&lt;&gt;"",'Raw Data'!G220,IFERROR(ROUND(E220*F220,2),""))</f>
        <v>1200</v>
      </c>
      <c r="H220" t="str">
        <f>'Raw Data'!H220</f>
        <v>Credit Card</v>
      </c>
      <c r="I220" t="str">
        <f>IF('Raw Data'!D220="",IF(D220="Unknown","Could not recover","Filled from Price lookup"),IF(TRIM('Raw Data'!D220)&lt;&gt;'Raw Data'!D220,"Trimmed whitespace","OK"))</f>
        <v>OK</v>
      </c>
      <c r="J220" t="str">
        <f t="shared" si="3"/>
        <v>OK</v>
      </c>
    </row>
    <row r="221" spans="1:10">
      <c r="A221" t="str">
        <f>'Raw Data'!A221</f>
        <v>TXN_1493</v>
      </c>
      <c r="B221" s="1">
        <f>'Raw Data'!B221</f>
        <v>45713</v>
      </c>
      <c r="C221" t="str">
        <f>IFERROR(INDEX('Reference Table'!$C$2:$C$46,MATCH(D221,'Reference Table'!$A$2:$A$46,0)),"Unknown")</f>
        <v>Milk Products</v>
      </c>
      <c r="D221" t="str">
        <f t="array" ref="D221">IF(TRIM('Raw Data'!D221)&lt;&gt;"",TRIM('Raw Data'!D221),IFERROR(INDEX('Reference Table'!$A$2:$A$46,MATCH(VALUE('Raw Data'!E221),VALUE('Reference Table'!$B$2:$B$46),0)),"Unknown"))</f>
        <v>Milk_Ghee_500ml</v>
      </c>
      <c r="E221" t="str">
        <f>IF('Raw Data'!E221&lt;&gt;"",'Raw Data'!E221,IFERROR(INDEX('Reference Table'!$B$2:$B$32,MATCH(D221,'Reference Table'!$A$2:$A$32,0)),""))</f>
        <v/>
      </c>
      <c r="F221">
        <f>IF('Raw Data'!F221&lt;&gt;"",'Raw Data'!F221,IFERROR(ROUND('Raw Data'!G221/E221,0),""))</f>
        <v>5</v>
      </c>
      <c r="G221">
        <f>IF('Raw Data'!G221&lt;&gt;"",'Raw Data'!G221,IFERROR(ROUND(E221*F221,2),""))</f>
        <v>1750</v>
      </c>
      <c r="H221" t="str">
        <f>'Raw Data'!H221</f>
        <v>Cash</v>
      </c>
      <c r="I221" t="str">
        <f>IF('Raw Data'!D221="",IF(D221="Unknown","Could not recover","Filled from Price lookup"),IF(TRIM('Raw Data'!D221)&lt;&gt;'Raw Data'!D221,"Trimmed whitespace","OK"))</f>
        <v>OK</v>
      </c>
      <c r="J221" t="str">
        <f t="shared" si="3"/>
        <v>Incomplete</v>
      </c>
    </row>
    <row r="222" spans="1:10">
      <c r="A222" t="str">
        <f>'Raw Data'!A222</f>
        <v>TXN_1239</v>
      </c>
      <c r="B222" s="1">
        <f>'Raw Data'!B222</f>
        <v>45674</v>
      </c>
      <c r="C222" t="str">
        <f>IFERROR(INDEX('Reference Table'!$C$2:$C$46,MATCH(D222,'Reference Table'!$A$2:$A$46,0)),"Unknown")</f>
        <v>Milk Products</v>
      </c>
      <c r="D222" t="str">
        <f t="array" ref="D222">IF(TRIM('Raw Data'!D222)&lt;&gt;"",TRIM('Raw Data'!D222),IFERROR(INDEX('Reference Table'!$A$2:$A$46,MATCH(VALUE('Raw Data'!E222),VALUE('Reference Table'!$B$2:$B$46),0)),"Unknown"))</f>
        <v>Milk_Ghee_500ml</v>
      </c>
      <c r="E222">
        <f>IF('Raw Data'!E222&lt;&gt;"",'Raw Data'!E222,IFERROR(INDEX('Reference Table'!$B$2:$B$32,MATCH(D222,'Reference Table'!$A$2:$A$32,0)),""))</f>
        <v>350</v>
      </c>
      <c r="F222">
        <f>IF('Raw Data'!F222&lt;&gt;"",'Raw Data'!F222,IFERROR(ROUND('Raw Data'!G222/E222,0),""))</f>
        <v>6</v>
      </c>
      <c r="G222">
        <f>IF('Raw Data'!G222&lt;&gt;"",'Raw Data'!G222,IFERROR(ROUND(E222*F222,2),""))</f>
        <v>2100</v>
      </c>
      <c r="H222" t="str">
        <f>'Raw Data'!H222</f>
        <v>Mobile Payment</v>
      </c>
      <c r="I222" t="str">
        <f>IF('Raw Data'!D222="",IF(D222="Unknown","Could not recover","Filled from Price lookup"),IF(TRIM('Raw Data'!D222)&lt;&gt;'Raw Data'!D222,"Trimmed whitespace","OK"))</f>
        <v>OK</v>
      </c>
      <c r="J222" t="str">
        <f t="shared" si="3"/>
        <v>OK</v>
      </c>
    </row>
    <row r="223" spans="1:10">
      <c r="A223" t="str">
        <f>'Raw Data'!A223</f>
        <v>TXN_1182</v>
      </c>
      <c r="B223" s="1">
        <f>'Raw Data'!B223</f>
        <v>45668</v>
      </c>
      <c r="C223" t="str">
        <f>IFERROR(INDEX('Reference Table'!$C$2:$C$46,MATCH(D223,'Reference Table'!$A$2:$A$46,0)),"Unknown")</f>
        <v>Patisserie</v>
      </c>
      <c r="D223" t="str">
        <f t="array" ref="D223">IF(TRIM('Raw Data'!D223)&lt;&gt;"",TRIM('Raw Data'!D223),IFERROR(INDEX('Reference Table'!$A$2:$A$46,MATCH(VALUE('Raw Data'!E223),VALUE('Reference Table'!$B$2:$B$46),0)),"Unknown"))</f>
        <v>Pat_Donut</v>
      </c>
      <c r="E223">
        <f>IF('Raw Data'!E223&lt;&gt;"",'Raw Data'!E223,IFERROR(INDEX('Reference Table'!$B$2:$B$32,MATCH(D223,'Reference Table'!$A$2:$A$32,0)),""))</f>
        <v>30</v>
      </c>
      <c r="F223">
        <f>IF('Raw Data'!F223&lt;&gt;"",'Raw Data'!F223,IFERROR(ROUND('Raw Data'!G223/E223,0),""))</f>
        <v>5</v>
      </c>
      <c r="G223">
        <f>IF('Raw Data'!G223&lt;&gt;"",'Raw Data'!G223,IFERROR(ROUND(E223*F223,2),""))</f>
        <v>150</v>
      </c>
      <c r="H223" t="str">
        <f>'Raw Data'!H223</f>
        <v>Credit Card</v>
      </c>
      <c r="I223" t="str">
        <f>IF('Raw Data'!D223="",IF(D223="Unknown","Could not recover","Filled from Price lookup"),IF(TRIM('Raw Data'!D223)&lt;&gt;'Raw Data'!D223,"Trimmed whitespace","OK"))</f>
        <v>OK</v>
      </c>
      <c r="J223" t="str">
        <f t="shared" si="3"/>
        <v>OK</v>
      </c>
    </row>
    <row r="224" spans="1:10">
      <c r="A224" t="str">
        <f>'Raw Data'!A224</f>
        <v>TXN_1308</v>
      </c>
      <c r="B224" s="1">
        <f>'Raw Data'!B224</f>
        <v>45776</v>
      </c>
      <c r="C224" t="str">
        <f>IFERROR(INDEX('Reference Table'!$C$2:$C$46,MATCH(D224,'Reference Table'!$A$2:$A$46,0)),"Unknown")</f>
        <v>Patisserie</v>
      </c>
      <c r="D224" t="str">
        <f t="array" ref="D224">IF(TRIM('Raw Data'!D224)&lt;&gt;"",TRIM('Raw Data'!D224),IFERROR(INDEX('Reference Table'!$A$2:$A$46,MATCH(VALUE('Raw Data'!E224),VALUE('Reference Table'!$B$2:$B$46),0)),"Unknown"))</f>
        <v>Pat_Cake_Slice</v>
      </c>
      <c r="E224">
        <f>IF('Raw Data'!E224&lt;&gt;"",'Raw Data'!E224,IFERROR(INDEX('Reference Table'!$B$2:$B$32,MATCH(D224,'Reference Table'!$A$2:$A$32,0)),""))</f>
        <v>90</v>
      </c>
      <c r="F224">
        <f>IF('Raw Data'!F224&lt;&gt;"",'Raw Data'!F224,IFERROR(ROUND('Raw Data'!G224/E224,0),""))</f>
        <v>3</v>
      </c>
      <c r="G224">
        <f>IF('Raw Data'!G224&lt;&gt;"",'Raw Data'!G224,IFERROR(ROUND(E224*F224,2),""))</f>
        <v>270</v>
      </c>
      <c r="H224" t="str">
        <f>'Raw Data'!H224</f>
        <v>Mobile Payment</v>
      </c>
      <c r="I224" t="str">
        <f>IF('Raw Data'!D224="",IF(D224="Unknown","Could not recover","Filled from Price lookup"),IF(TRIM('Raw Data'!D224)&lt;&gt;'Raw Data'!D224,"Trimmed whitespace","OK"))</f>
        <v>Filled from Price lookup</v>
      </c>
      <c r="J224" t="str">
        <f t="shared" si="3"/>
        <v>OK</v>
      </c>
    </row>
    <row r="225" spans="1:10">
      <c r="A225" t="str">
        <f>'Raw Data'!A225</f>
        <v>TXN_1511</v>
      </c>
      <c r="B225" s="1">
        <f>'Raw Data'!B225</f>
        <v>45856</v>
      </c>
      <c r="C225" t="str">
        <f>IFERROR(INDEX('Reference Table'!$C$2:$C$46,MATCH(D225,'Reference Table'!$A$2:$A$46,0)),"Unknown")</f>
        <v>Furniture</v>
      </c>
      <c r="D225" t="str">
        <f t="array" ref="D225">IF(TRIM('Raw Data'!D225)&lt;&gt;"",TRIM('Raw Data'!D225),IFERROR(INDEX('Reference Table'!$A$2:$A$46,MATCH(VALUE('Raw Data'!E225),VALUE('Reference Table'!$B$2:$B$46),0)),"Unknown"))</f>
        <v>Furn_Chair</v>
      </c>
      <c r="E225">
        <f>IF('Raw Data'!E225&lt;&gt;"",'Raw Data'!E225,IFERROR(INDEX('Reference Table'!$B$2:$B$32,MATCH(D225,'Reference Table'!$A$2:$A$32,0)),""))</f>
        <v>2500</v>
      </c>
      <c r="F225">
        <f>IF('Raw Data'!F225&lt;&gt;"",'Raw Data'!F225,IFERROR(ROUND('Raw Data'!G225/E225,0),""))</f>
        <v>3</v>
      </c>
      <c r="G225">
        <f>IF('Raw Data'!G225&lt;&gt;"",'Raw Data'!G225,IFERROR(ROUND(E225*F225,2),""))</f>
        <v>7500</v>
      </c>
      <c r="H225" t="str">
        <f>'Raw Data'!H225</f>
        <v>Debit Card</v>
      </c>
      <c r="I225" t="str">
        <f>IF('Raw Data'!D225="",IF(D225="Unknown","Could not recover","Filled from Price lookup"),IF(TRIM('Raw Data'!D225)&lt;&gt;'Raw Data'!D225,"Trimmed whitespace","OK"))</f>
        <v>OK</v>
      </c>
      <c r="J225" t="str">
        <f t="shared" si="3"/>
        <v>OK</v>
      </c>
    </row>
    <row r="226" spans="1:10">
      <c r="A226" t="str">
        <f>'Raw Data'!A226</f>
        <v>TXN_1044</v>
      </c>
      <c r="B226" s="1">
        <f>'Raw Data'!B226</f>
        <v>45796</v>
      </c>
      <c r="C226" t="str">
        <f>IFERROR(INDEX('Reference Table'!$C$2:$C$46,MATCH(D226,'Reference Table'!$A$2:$A$46,0)),"Unknown")</f>
        <v>Computers</v>
      </c>
      <c r="D226" t="str">
        <f t="array" ref="D226">IF(TRIM('Raw Data'!D226)&lt;&gt;"",TRIM('Raw Data'!D226),IFERROR(INDEX('Reference Table'!$A$2:$A$46,MATCH(VALUE('Raw Data'!E226),VALUE('Reference Table'!$B$2:$B$46),0)),"Unknown"))</f>
        <v>Comp_Keyboard</v>
      </c>
      <c r="E226">
        <f>IF('Raw Data'!E226&lt;&gt;"",'Raw Data'!E226,IFERROR(INDEX('Reference Table'!$B$2:$B$32,MATCH(D226,'Reference Table'!$A$2:$A$32,0)),""))</f>
        <v>800</v>
      </c>
      <c r="F226">
        <f>IF('Raw Data'!F226&lt;&gt;"",'Raw Data'!F226,IFERROR(ROUND('Raw Data'!G226/E226,0),""))</f>
        <v>2</v>
      </c>
      <c r="G226">
        <f>IF('Raw Data'!G226&lt;&gt;"",'Raw Data'!G226,IFERROR(ROUND(E226*F226,2),""))</f>
        <v>1600</v>
      </c>
      <c r="H226" t="str">
        <f>'Raw Data'!H226</f>
        <v>Credit Card</v>
      </c>
      <c r="I226" t="str">
        <f>IF('Raw Data'!D226="",IF(D226="Unknown","Could not recover","Filled from Price lookup"),IF(TRIM('Raw Data'!D226)&lt;&gt;'Raw Data'!D226,"Trimmed whitespace","OK"))</f>
        <v>OK</v>
      </c>
      <c r="J226" t="str">
        <f t="shared" si="3"/>
        <v>OK</v>
      </c>
    </row>
    <row r="227" spans="1:10">
      <c r="A227" t="str">
        <f>'Raw Data'!A227</f>
        <v>TXN_1477</v>
      </c>
      <c r="B227" s="1">
        <f>'Raw Data'!B227</f>
        <v>45774</v>
      </c>
      <c r="C227" t="str">
        <f>IFERROR(INDEX('Reference Table'!$C$2:$C$46,MATCH(D227,'Reference Table'!$A$2:$A$46,0)),"Unknown")</f>
        <v>Computers</v>
      </c>
      <c r="D227" t="str">
        <f t="array" ref="D227">IF(TRIM('Raw Data'!D227)&lt;&gt;"",TRIM('Raw Data'!D227),IFERROR(INDEX('Reference Table'!$A$2:$A$46,MATCH(VALUE('Raw Data'!E227),VALUE('Reference Table'!$B$2:$B$46),0)),"Unknown"))</f>
        <v>Comp_USB_Drive_32GB</v>
      </c>
      <c r="E227">
        <f>IF('Raw Data'!E227&lt;&gt;"",'Raw Data'!E227,IFERROR(INDEX('Reference Table'!$B$2:$B$32,MATCH(D227,'Reference Table'!$A$2:$A$32,0)),""))</f>
        <v>450</v>
      </c>
      <c r="F227">
        <f>IF('Raw Data'!F227&lt;&gt;"",'Raw Data'!F227,IFERROR(ROUND('Raw Data'!G227/E227,0),""))</f>
        <v>4</v>
      </c>
      <c r="G227">
        <f>IF('Raw Data'!G227&lt;&gt;"",'Raw Data'!G227,IFERROR(ROUND(E227*F227,2),""))</f>
        <v>1800</v>
      </c>
      <c r="H227" t="str">
        <f>'Raw Data'!H227</f>
        <v>Cash</v>
      </c>
      <c r="I227" t="str">
        <f>IF('Raw Data'!D227="",IF(D227="Unknown","Could not recover","Filled from Price lookup"),IF(TRIM('Raw Data'!D227)&lt;&gt;'Raw Data'!D227,"Trimmed whitespace","OK"))</f>
        <v>OK</v>
      </c>
      <c r="J227" t="str">
        <f t="shared" si="3"/>
        <v>OK</v>
      </c>
    </row>
    <row r="228" spans="1:10">
      <c r="A228" t="str">
        <f>'Raw Data'!A228</f>
        <v>TXN_1520</v>
      </c>
      <c r="B228" s="1">
        <f>'Raw Data'!B228</f>
        <v>45693</v>
      </c>
      <c r="C228" t="str">
        <f>IFERROR(INDEX('Reference Table'!$C$2:$C$46,MATCH(D228,'Reference Table'!$A$2:$A$46,0)),"Unknown")</f>
        <v>Butchers</v>
      </c>
      <c r="D228" t="str">
        <f t="array" ref="D228">IF(TRIM('Raw Data'!D228)&lt;&gt;"",TRIM('Raw Data'!D228),IFERROR(INDEX('Reference Table'!$A$2:$A$46,MATCH(VALUE('Raw Data'!E228),VALUE('Reference Table'!$B$2:$B$46),0)),"Unknown"))</f>
        <v>Meat_Fish_1kg</v>
      </c>
      <c r="E228">
        <f>IF('Raw Data'!E228&lt;&gt;"",'Raw Data'!E228,IFERROR(INDEX('Reference Table'!$B$2:$B$32,MATCH(D228,'Reference Table'!$A$2:$A$32,0)),""))</f>
        <v>380</v>
      </c>
      <c r="F228">
        <f>IF('Raw Data'!F228&lt;&gt;"",'Raw Data'!F228,IFERROR(ROUND('Raw Data'!G228/E228,0),""))</f>
        <v>2</v>
      </c>
      <c r="G228">
        <f>IF('Raw Data'!G228&lt;&gt;"",'Raw Data'!G228,IFERROR(ROUND(E228*F228,2),""))</f>
        <v>760</v>
      </c>
      <c r="H228" t="str">
        <f>'Raw Data'!H228</f>
        <v>Mobile Payment</v>
      </c>
      <c r="I228" t="str">
        <f>IF('Raw Data'!D228="",IF(D228="Unknown","Could not recover","Filled from Price lookup"),IF(TRIM('Raw Data'!D228)&lt;&gt;'Raw Data'!D228,"Trimmed whitespace","OK"))</f>
        <v>OK</v>
      </c>
      <c r="J228" t="str">
        <f t="shared" si="3"/>
        <v>OK</v>
      </c>
    </row>
    <row r="229" spans="1:10">
      <c r="A229" t="str">
        <f>'Raw Data'!A229</f>
        <v>TXN_1038</v>
      </c>
      <c r="B229" s="1">
        <f>'Raw Data'!B229</f>
        <v>45834</v>
      </c>
      <c r="C229" t="str">
        <f>IFERROR(INDEX('Reference Table'!$C$2:$C$46,MATCH(D229,'Reference Table'!$A$2:$A$46,0)),"Unknown")</f>
        <v>Computers</v>
      </c>
      <c r="D229" t="str">
        <f t="array" ref="D229">IF(TRIM('Raw Data'!D229)&lt;&gt;"",TRIM('Raw Data'!D229),IFERROR(INDEX('Reference Table'!$A$2:$A$46,MATCH(VALUE('Raw Data'!E229),VALUE('Reference Table'!$B$2:$B$46),0)),"Unknown"))</f>
        <v>Comp_Webcam</v>
      </c>
      <c r="E229">
        <f>IF('Raw Data'!E229&lt;&gt;"",'Raw Data'!E229,IFERROR(INDEX('Reference Table'!$B$2:$B$32,MATCH(D229,'Reference Table'!$A$2:$A$32,0)),""))</f>
        <v>1200</v>
      </c>
      <c r="F229">
        <f>IF('Raw Data'!F229&lt;&gt;"",'Raw Data'!F229,IFERROR(ROUND('Raw Data'!G229/E229,0),""))</f>
        <v>6</v>
      </c>
      <c r="G229">
        <f>IF('Raw Data'!G229&lt;&gt;"",'Raw Data'!G229,IFERROR(ROUND(E229*F229,2),""))</f>
        <v>7200</v>
      </c>
      <c r="H229" t="str">
        <f>'Raw Data'!H229</f>
        <v>Credit Card</v>
      </c>
      <c r="I229" t="str">
        <f>IF('Raw Data'!D229="",IF(D229="Unknown","Could not recover","Filled from Price lookup"),IF(TRIM('Raw Data'!D229)&lt;&gt;'Raw Data'!D229,"Trimmed whitespace","OK"))</f>
        <v>OK</v>
      </c>
      <c r="J229" t="str">
        <f t="shared" si="3"/>
        <v>OK</v>
      </c>
    </row>
    <row r="230" spans="1:10">
      <c r="A230" t="str">
        <f>'Raw Data'!A230</f>
        <v>TXN_1098</v>
      </c>
      <c r="B230" s="1">
        <f>'Raw Data'!B230</f>
        <v>45825</v>
      </c>
      <c r="C230" t="str">
        <f>IFERROR(INDEX('Reference Table'!$C$2:$C$46,MATCH(D230,'Reference Table'!$A$2:$A$46,0)),"Unknown")</f>
        <v>Furniture</v>
      </c>
      <c r="D230" t="str">
        <f t="array" ref="D230">IF(TRIM('Raw Data'!D230)&lt;&gt;"",TRIM('Raw Data'!D230),IFERROR(INDEX('Reference Table'!$A$2:$A$46,MATCH(VALUE('Raw Data'!E230),VALUE('Reference Table'!$B$2:$B$46),0)),"Unknown"))</f>
        <v>Furn_Lamp</v>
      </c>
      <c r="E230">
        <f>IF('Raw Data'!E230&lt;&gt;"",'Raw Data'!E230,IFERROR(INDEX('Reference Table'!$B$2:$B$32,MATCH(D230,'Reference Table'!$A$2:$A$32,0)),""))</f>
        <v>700</v>
      </c>
      <c r="F230">
        <f>IF('Raw Data'!F230&lt;&gt;"",'Raw Data'!F230,IFERROR(ROUND('Raw Data'!G230/E230,0),""))</f>
        <v>5</v>
      </c>
      <c r="G230">
        <f>IF('Raw Data'!G230&lt;&gt;"",'Raw Data'!G230,IFERROR(ROUND(E230*F230,2),""))</f>
        <v>3500</v>
      </c>
      <c r="H230" t="str">
        <f>'Raw Data'!H230</f>
        <v>Debit Card</v>
      </c>
      <c r="I230" t="str">
        <f>IF('Raw Data'!D230="",IF(D230="Unknown","Could not recover","Filled from Price lookup"),IF(TRIM('Raw Data'!D230)&lt;&gt;'Raw Data'!D230,"Trimmed whitespace","OK"))</f>
        <v>OK</v>
      </c>
      <c r="J230" t="str">
        <f t="shared" si="3"/>
        <v>OK</v>
      </c>
    </row>
    <row r="231" spans="1:10">
      <c r="A231" t="str">
        <f>'Raw Data'!A231</f>
        <v>TXN_1093</v>
      </c>
      <c r="B231" s="1">
        <f>'Raw Data'!B231</f>
        <v>45888</v>
      </c>
      <c r="C231" t="str">
        <f>IFERROR(INDEX('Reference Table'!$C$2:$C$46,MATCH(D231,'Reference Table'!$A$2:$A$46,0)),"Unknown")</f>
        <v>Food</v>
      </c>
      <c r="D231" t="str">
        <f t="array" ref="D231">IF(TRIM('Raw Data'!D231)&lt;&gt;"",TRIM('Raw Data'!D231),IFERROR(INDEX('Reference Table'!$A$2:$A$46,MATCH(VALUE('Raw Data'!E231),VALUE('Reference Table'!$B$2:$B$46),0)),"Unknown"))</f>
        <v>Food_Pasta_500g</v>
      </c>
      <c r="E231">
        <f>IF('Raw Data'!E231&lt;&gt;"",'Raw Data'!E231,IFERROR(INDEX('Reference Table'!$B$2:$B$32,MATCH(D231,'Reference Table'!$A$2:$A$32,0)),""))</f>
        <v>65</v>
      </c>
      <c r="F231">
        <f>IF('Raw Data'!F231&lt;&gt;"",'Raw Data'!F231,IFERROR(ROUND('Raw Data'!G231/E231,0),""))</f>
        <v>6</v>
      </c>
      <c r="G231">
        <f>IF('Raw Data'!G231&lt;&gt;"",'Raw Data'!G231,IFERROR(ROUND(E231*F231,2),""))</f>
        <v>390</v>
      </c>
      <c r="H231" t="str">
        <f>'Raw Data'!H231</f>
        <v>Debit Card</v>
      </c>
      <c r="I231" t="str">
        <f>IF('Raw Data'!D231="",IF(D231="Unknown","Could not recover","Filled from Price lookup"),IF(TRIM('Raw Data'!D231)&lt;&gt;'Raw Data'!D231,"Trimmed whitespace","OK"))</f>
        <v>OK</v>
      </c>
      <c r="J231" t="str">
        <f t="shared" si="3"/>
        <v>OK</v>
      </c>
    </row>
    <row r="232" spans="1:10">
      <c r="A232" t="str">
        <f>'Raw Data'!A232</f>
        <v>TXN_1571</v>
      </c>
      <c r="B232" s="1">
        <f>'Raw Data'!B232</f>
        <v>45830</v>
      </c>
      <c r="C232" t="str">
        <f>IFERROR(INDEX('Reference Table'!$C$2:$C$46,MATCH(D232,'Reference Table'!$A$2:$A$46,0)),"Unknown")</f>
        <v>Beverages</v>
      </c>
      <c r="D232" t="str">
        <f t="array" ref="D232">IF(TRIM('Raw Data'!D232)&lt;&gt;"",TRIM('Raw Data'!D232),IFERROR(INDEX('Reference Table'!$A$2:$A$46,MATCH(VALUE('Raw Data'!E232),VALUE('Reference Table'!$B$2:$B$46),0)),"Unknown"))</f>
        <v>Bev_Tea_100g</v>
      </c>
      <c r="E232" t="str">
        <f>IF('Raw Data'!E232&lt;&gt;"",'Raw Data'!E232,IFERROR(INDEX('Reference Table'!$B$2:$B$32,MATCH(D232,'Reference Table'!$A$2:$A$32,0)),""))</f>
        <v/>
      </c>
      <c r="F232">
        <f>IF('Raw Data'!F232&lt;&gt;"",'Raw Data'!F232,IFERROR(ROUND('Raw Data'!G232/E232,0),""))</f>
        <v>4</v>
      </c>
      <c r="G232">
        <f>IF('Raw Data'!G232&lt;&gt;"",'Raw Data'!G232,IFERROR(ROUND(E232*F232,2),""))</f>
        <v>360</v>
      </c>
      <c r="H232" t="str">
        <f>'Raw Data'!H232</f>
        <v>Mobile Payment</v>
      </c>
      <c r="I232" t="str">
        <f>IF('Raw Data'!D232="",IF(D232="Unknown","Could not recover","Filled from Price lookup"),IF(TRIM('Raw Data'!D232)&lt;&gt;'Raw Data'!D232,"Trimmed whitespace","OK"))</f>
        <v>OK</v>
      </c>
      <c r="J232" t="str">
        <f t="shared" si="3"/>
        <v>Incomplete</v>
      </c>
    </row>
    <row r="233" spans="1:10">
      <c r="A233" t="str">
        <f>'Raw Data'!A233</f>
        <v>TXN_1236</v>
      </c>
      <c r="B233" s="1">
        <f>'Raw Data'!B233</f>
        <v>45795</v>
      </c>
      <c r="C233" t="str">
        <f>IFERROR(INDEX('Reference Table'!$C$2:$C$46,MATCH(D233,'Reference Table'!$A$2:$A$46,0)),"Unknown")</f>
        <v>Beverages</v>
      </c>
      <c r="D233" t="str">
        <f t="array" ref="D233">IF(TRIM('Raw Data'!D233)&lt;&gt;"",TRIM('Raw Data'!D233),IFERROR(INDEX('Reference Table'!$A$2:$A$46,MATCH(VALUE('Raw Data'!E233),VALUE('Reference Table'!$B$2:$B$46),0)),"Unknown"))</f>
        <v>Bev_Cola_1L</v>
      </c>
      <c r="E233">
        <f>IF('Raw Data'!E233&lt;&gt;"",'Raw Data'!E233,IFERROR(INDEX('Reference Table'!$B$2:$B$32,MATCH(D233,'Reference Table'!$A$2:$A$32,0)),""))</f>
        <v>60</v>
      </c>
      <c r="F233">
        <f>IF('Raw Data'!F233&lt;&gt;"",'Raw Data'!F233,IFERROR(ROUND('Raw Data'!G233/E233,0),""))</f>
        <v>3</v>
      </c>
      <c r="G233">
        <f>IF('Raw Data'!G233&lt;&gt;"",'Raw Data'!G233,IFERROR(ROUND(E233*F233,2),""))</f>
        <v>180</v>
      </c>
      <c r="H233" t="str">
        <f>'Raw Data'!H233</f>
        <v>Cash</v>
      </c>
      <c r="I233" t="str">
        <f>IF('Raw Data'!D233="",IF(D233="Unknown","Could not recover","Filled from Price lookup"),IF(TRIM('Raw Data'!D233)&lt;&gt;'Raw Data'!D233,"Trimmed whitespace","OK"))</f>
        <v>OK</v>
      </c>
      <c r="J233" t="str">
        <f t="shared" si="3"/>
        <v>OK</v>
      </c>
    </row>
    <row r="234" spans="1:10">
      <c r="A234" t="str">
        <f>'Raw Data'!A234</f>
        <v>TXN_1062</v>
      </c>
      <c r="B234" s="1">
        <f>'Raw Data'!B234</f>
        <v>45841</v>
      </c>
      <c r="C234" t="str">
        <f>IFERROR(INDEX('Reference Table'!$C$2:$C$46,MATCH(D234,'Reference Table'!$A$2:$A$46,0)),"Unknown")</f>
        <v>Milk Products</v>
      </c>
      <c r="D234" t="str">
        <f t="array" ref="D234">IF(TRIM('Raw Data'!D234)&lt;&gt;"",TRIM('Raw Data'!D234),IFERROR(INDEX('Reference Table'!$A$2:$A$46,MATCH(VALUE('Raw Data'!E234),VALUE('Reference Table'!$B$2:$B$46),0)),"Unknown"))</f>
        <v>Milk_Paneer_200g</v>
      </c>
      <c r="E234">
        <f>IF('Raw Data'!E234&lt;&gt;"",'Raw Data'!E234,IFERROR(INDEX('Reference Table'!$B$2:$B$32,MATCH(D234,'Reference Table'!$A$2:$A$32,0)),""))</f>
        <v>80</v>
      </c>
      <c r="F234">
        <f>IF('Raw Data'!F234&lt;&gt;"",'Raw Data'!F234,IFERROR(ROUND('Raw Data'!G234/E234,0),""))</f>
        <v>6</v>
      </c>
      <c r="G234">
        <f>IF('Raw Data'!G234&lt;&gt;"",'Raw Data'!G234,IFERROR(ROUND(E234*F234,2),""))</f>
        <v>480</v>
      </c>
      <c r="H234" t="str">
        <f>'Raw Data'!H234</f>
        <v>Debit Card</v>
      </c>
      <c r="I234" t="str">
        <f>IF('Raw Data'!D234="",IF(D234="Unknown","Could not recover","Filled from Price lookup"),IF(TRIM('Raw Data'!D234)&lt;&gt;'Raw Data'!D234,"Trimmed whitespace","OK"))</f>
        <v>OK</v>
      </c>
      <c r="J234" t="str">
        <f t="shared" si="3"/>
        <v>OK</v>
      </c>
    </row>
    <row r="235" spans="1:10">
      <c r="A235" t="str">
        <f>'Raw Data'!A235</f>
        <v>TXN_1003</v>
      </c>
      <c r="B235" s="1">
        <f>'Raw Data'!B235</f>
        <v>45801</v>
      </c>
      <c r="C235" t="str">
        <f>IFERROR(INDEX('Reference Table'!$C$2:$C$46,MATCH(D235,'Reference Table'!$A$2:$A$46,0)),"Unknown")</f>
        <v>Furniture</v>
      </c>
      <c r="D235" t="str">
        <f t="array" ref="D235">IF(TRIM('Raw Data'!D235)&lt;&gt;"",TRIM('Raw Data'!D235),IFERROR(INDEX('Reference Table'!$A$2:$A$46,MATCH(VALUE('Raw Data'!E235),VALUE('Reference Table'!$B$2:$B$46),0)),"Unknown"))</f>
        <v>Furn_Shelf</v>
      </c>
      <c r="E235">
        <f>IF('Raw Data'!E235&lt;&gt;"",'Raw Data'!E235,IFERROR(INDEX('Reference Table'!$B$2:$B$32,MATCH(D235,'Reference Table'!$A$2:$A$32,0)),""))</f>
        <v>1800</v>
      </c>
      <c r="F235">
        <f>IF('Raw Data'!F235&lt;&gt;"",'Raw Data'!F235,IFERROR(ROUND('Raw Data'!G235/E235,0),""))</f>
        <v>1</v>
      </c>
      <c r="G235">
        <f>IF('Raw Data'!G235&lt;&gt;"",'Raw Data'!G235,IFERROR(ROUND(E235*F235,2),""))</f>
        <v>1800</v>
      </c>
      <c r="H235" t="str">
        <f>'Raw Data'!H235</f>
        <v>Credit Card</v>
      </c>
      <c r="I235" t="str">
        <f>IF('Raw Data'!D235="",IF(D235="Unknown","Could not recover","Filled from Price lookup"),IF(TRIM('Raw Data'!D235)&lt;&gt;'Raw Data'!D235,"Trimmed whitespace","OK"))</f>
        <v>OK</v>
      </c>
      <c r="J235" t="str">
        <f t="shared" si="3"/>
        <v>OK</v>
      </c>
    </row>
    <row r="236" spans="1:10">
      <c r="A236" t="str">
        <f>'Raw Data'!A236</f>
        <v>TXN_1220</v>
      </c>
      <c r="B236" s="1">
        <f>'Raw Data'!B236</f>
        <v>45831</v>
      </c>
      <c r="C236" t="str">
        <f>IFERROR(INDEX('Reference Table'!$C$2:$C$46,MATCH(D236,'Reference Table'!$A$2:$A$46,0)),"Unknown")</f>
        <v>Electric Accessories</v>
      </c>
      <c r="D236" t="str">
        <f t="array" ref="D236">IF(TRIM('Raw Data'!D236)&lt;&gt;"",TRIM('Raw Data'!D236),IFERROR(INDEX('Reference Table'!$A$2:$A$46,MATCH(VALUE('Raw Data'!E236),VALUE('Reference Table'!$B$2:$B$46),0)),"Unknown"))</f>
        <v>Elec_Powerbank</v>
      </c>
      <c r="E236">
        <f>IF('Raw Data'!E236&lt;&gt;"",'Raw Data'!E236,IFERROR(INDEX('Reference Table'!$B$2:$B$32,MATCH(D236,'Reference Table'!$A$2:$A$32,0)),""))</f>
        <v>900</v>
      </c>
      <c r="F236">
        <f>IF('Raw Data'!F236&lt;&gt;"",'Raw Data'!F236,IFERROR(ROUND('Raw Data'!G236/E236,0),""))</f>
        <v>3</v>
      </c>
      <c r="G236">
        <f>IF('Raw Data'!G236&lt;&gt;"",'Raw Data'!G236,IFERROR(ROUND(E236*F236,2),""))</f>
        <v>2700</v>
      </c>
      <c r="H236" t="str">
        <f>'Raw Data'!H236</f>
        <v>Credit Card</v>
      </c>
      <c r="I236" t="str">
        <f>IF('Raw Data'!D236="",IF(D236="Unknown","Could not recover","Filled from Price lookup"),IF(TRIM('Raw Data'!D236)&lt;&gt;'Raw Data'!D236,"Trimmed whitespace","OK"))</f>
        <v>Filled from Price lookup</v>
      </c>
      <c r="J236" t="str">
        <f t="shared" si="3"/>
        <v>OK</v>
      </c>
    </row>
    <row r="237" spans="1:10">
      <c r="A237" t="str">
        <f>'Raw Data'!A237</f>
        <v>TXN_1343</v>
      </c>
      <c r="B237" s="1">
        <f>'Raw Data'!B237</f>
        <v>45723</v>
      </c>
      <c r="C237" t="str">
        <f>IFERROR(INDEX('Reference Table'!$C$2:$C$46,MATCH(D237,'Reference Table'!$A$2:$A$46,0)),"Unknown")</f>
        <v>Food</v>
      </c>
      <c r="D237" t="str">
        <f t="array" ref="D237">IF(TRIM('Raw Data'!D237)&lt;&gt;"",TRIM('Raw Data'!D237),IFERROR(INDEX('Reference Table'!$A$2:$A$46,MATCH(VALUE('Raw Data'!E237),VALUE('Reference Table'!$B$2:$B$46),0)),"Unknown"))</f>
        <v>Food_Rice_1kg</v>
      </c>
      <c r="E237">
        <f>IF('Raw Data'!E237&lt;&gt;"",'Raw Data'!E237,IFERROR(INDEX('Reference Table'!$B$2:$B$32,MATCH(D237,'Reference Table'!$A$2:$A$32,0)),""))</f>
        <v>70</v>
      </c>
      <c r="F237">
        <f>IF('Raw Data'!F237&lt;&gt;"",'Raw Data'!F237,IFERROR(ROUND('Raw Data'!G237/E237,0),""))</f>
        <v>1</v>
      </c>
      <c r="G237">
        <f>IF('Raw Data'!G237&lt;&gt;"",'Raw Data'!G237,IFERROR(ROUND(E237*F237,2),""))</f>
        <v>70</v>
      </c>
      <c r="H237" t="str">
        <f>'Raw Data'!H237</f>
        <v>Credit Card</v>
      </c>
      <c r="I237" t="str">
        <f>IF('Raw Data'!D237="",IF(D237="Unknown","Could not recover","Filled from Price lookup"),IF(TRIM('Raw Data'!D237)&lt;&gt;'Raw Data'!D237,"Trimmed whitespace","OK"))</f>
        <v>OK</v>
      </c>
      <c r="J237" t="str">
        <f t="shared" si="3"/>
        <v>OK</v>
      </c>
    </row>
    <row r="238" spans="1:10">
      <c r="A238" t="str">
        <f>'Raw Data'!A238</f>
        <v>TXN_1011</v>
      </c>
      <c r="B238" s="1">
        <f>'Raw Data'!B238</f>
        <v>45716</v>
      </c>
      <c r="C238" t="str">
        <f>IFERROR(INDEX('Reference Table'!$C$2:$C$46,MATCH(D238,'Reference Table'!$A$2:$A$46,0)),"Unknown")</f>
        <v>Beverages</v>
      </c>
      <c r="D238" t="str">
        <f t="array" ref="D238">IF(TRIM('Raw Data'!D238)&lt;&gt;"",TRIM('Raw Data'!D238),IFERROR(INDEX('Reference Table'!$A$2:$A$46,MATCH(VALUE('Raw Data'!E238),VALUE('Reference Table'!$B$2:$B$46),0)),"Unknown"))</f>
        <v>Bev_Water_1L</v>
      </c>
      <c r="E238">
        <f>IF('Raw Data'!E238&lt;&gt;"",'Raw Data'!E238,IFERROR(INDEX('Reference Table'!$B$2:$B$32,MATCH(D238,'Reference Table'!$A$2:$A$32,0)),""))</f>
        <v>20</v>
      </c>
      <c r="F238">
        <f>IF('Raw Data'!F238&lt;&gt;"",'Raw Data'!F238,IFERROR(ROUND('Raw Data'!G238/E238,0),""))</f>
        <v>6</v>
      </c>
      <c r="G238">
        <f>IF('Raw Data'!G238&lt;&gt;"",'Raw Data'!G238,IFERROR(ROUND(E238*F238,2),""))</f>
        <v>120</v>
      </c>
      <c r="H238" t="str">
        <f>'Raw Data'!H238</f>
        <v>Debit Card</v>
      </c>
      <c r="I238" t="str">
        <f>IF('Raw Data'!D238="",IF(D238="Unknown","Could not recover","Filled from Price lookup"),IF(TRIM('Raw Data'!D238)&lt;&gt;'Raw Data'!D238,"Trimmed whitespace","OK"))</f>
        <v>OK</v>
      </c>
      <c r="J238" t="str">
        <f t="shared" si="3"/>
        <v>OK</v>
      </c>
    </row>
    <row r="239" spans="1:10">
      <c r="A239" t="str">
        <f>'Raw Data'!A239</f>
        <v>TXN_1510</v>
      </c>
      <c r="B239" s="1">
        <f>'Raw Data'!B239</f>
        <v>45710</v>
      </c>
      <c r="C239" t="str">
        <f>IFERROR(INDEX('Reference Table'!$C$2:$C$46,MATCH(D239,'Reference Table'!$A$2:$A$46,0)),"Unknown")</f>
        <v>Furniture</v>
      </c>
      <c r="D239" t="str">
        <f t="array" ref="D239">IF(TRIM('Raw Data'!D239)&lt;&gt;"",TRIM('Raw Data'!D239),IFERROR(INDEX('Reference Table'!$A$2:$A$46,MATCH(VALUE('Raw Data'!E239),VALUE('Reference Table'!$B$2:$B$46),0)),"Unknown"))</f>
        <v>Furn_Shelf</v>
      </c>
      <c r="E239">
        <f>IF('Raw Data'!E239&lt;&gt;"",'Raw Data'!E239,IFERROR(INDEX('Reference Table'!$B$2:$B$32,MATCH(D239,'Reference Table'!$A$2:$A$32,0)),""))</f>
        <v>1800</v>
      </c>
      <c r="F239">
        <f>IF('Raw Data'!F239&lt;&gt;"",'Raw Data'!F239,IFERROR(ROUND('Raw Data'!G239/E239,0),""))</f>
        <v>6</v>
      </c>
      <c r="G239">
        <f>IF('Raw Data'!G239&lt;&gt;"",'Raw Data'!G239,IFERROR(ROUND(E239*F239,2),""))</f>
        <v>10800</v>
      </c>
      <c r="H239" t="str">
        <f>'Raw Data'!H239</f>
        <v>Mobile Payment</v>
      </c>
      <c r="I239" t="str">
        <f>IF('Raw Data'!D239="",IF(D239="Unknown","Could not recover","Filled from Price lookup"),IF(TRIM('Raw Data'!D239)&lt;&gt;'Raw Data'!D239,"Trimmed whitespace","OK"))</f>
        <v>OK</v>
      </c>
      <c r="J239" t="str">
        <f t="shared" si="3"/>
        <v>OK</v>
      </c>
    </row>
    <row r="240" spans="1:10">
      <c r="A240" t="str">
        <f>'Raw Data'!A240</f>
        <v>TXN_1130</v>
      </c>
      <c r="B240" s="1">
        <f>'Raw Data'!B240</f>
        <v>45721</v>
      </c>
      <c r="C240" t="str">
        <f>IFERROR(INDEX('Reference Table'!$C$2:$C$46,MATCH(D240,'Reference Table'!$A$2:$A$46,0)),"Unknown")</f>
        <v>Beverages</v>
      </c>
      <c r="D240" t="str">
        <f t="array" ref="D240">IF(TRIM('Raw Data'!D240)&lt;&gt;"",TRIM('Raw Data'!D240),IFERROR(INDEX('Reference Table'!$A$2:$A$46,MATCH(VALUE('Raw Data'!E240),VALUE('Reference Table'!$B$2:$B$46),0)),"Unknown"))</f>
        <v>Bev_Water_1L</v>
      </c>
      <c r="E240">
        <f>IF('Raw Data'!E240&lt;&gt;"",'Raw Data'!E240,IFERROR(INDEX('Reference Table'!$B$2:$B$32,MATCH(D240,'Reference Table'!$A$2:$A$32,0)),""))</f>
        <v>20</v>
      </c>
      <c r="F240">
        <f>IF('Raw Data'!F240&lt;&gt;"",'Raw Data'!F240,IFERROR(ROUND('Raw Data'!G240/E240,0),""))</f>
        <v>1</v>
      </c>
      <c r="G240">
        <f>IF('Raw Data'!G240&lt;&gt;"",'Raw Data'!G240,IFERROR(ROUND(E240*F240,2),""))</f>
        <v>20</v>
      </c>
      <c r="H240" t="str">
        <f>'Raw Data'!H240</f>
        <v>Credit Card</v>
      </c>
      <c r="I240" t="str">
        <f>IF('Raw Data'!D240="",IF(D240="Unknown","Could not recover","Filled from Price lookup"),IF(TRIM('Raw Data'!D240)&lt;&gt;'Raw Data'!D240,"Trimmed whitespace","OK"))</f>
        <v>OK</v>
      </c>
      <c r="J240" t="str">
        <f t="shared" si="3"/>
        <v>OK</v>
      </c>
    </row>
    <row r="241" spans="1:10">
      <c r="A241" t="str">
        <f>'Raw Data'!A241</f>
        <v>TXN_1189</v>
      </c>
      <c r="B241" s="1">
        <f>'Raw Data'!B241</f>
        <v>45880</v>
      </c>
      <c r="C241" t="str">
        <f>IFERROR(INDEX('Reference Table'!$C$2:$C$46,MATCH(D241,'Reference Table'!$A$2:$A$46,0)),"Unknown")</f>
        <v>Beverages</v>
      </c>
      <c r="D241" t="str">
        <f t="array" ref="D241">IF(TRIM('Raw Data'!D241)&lt;&gt;"",TRIM('Raw Data'!D241),IFERROR(INDEX('Reference Table'!$A$2:$A$46,MATCH(VALUE('Raw Data'!E241),VALUE('Reference Table'!$B$2:$B$46),0)),"Unknown"))</f>
        <v>Bev_Cola_1L</v>
      </c>
      <c r="E241">
        <f>IF('Raw Data'!E241&lt;&gt;"",'Raw Data'!E241,IFERROR(INDEX('Reference Table'!$B$2:$B$32,MATCH(D241,'Reference Table'!$A$2:$A$32,0)),""))</f>
        <v>60</v>
      </c>
      <c r="F241">
        <f>IF('Raw Data'!F241&lt;&gt;"",'Raw Data'!F241,IFERROR(ROUND('Raw Data'!G241/E241,0),""))</f>
        <v>6</v>
      </c>
      <c r="G241">
        <f>IF('Raw Data'!G241&lt;&gt;"",'Raw Data'!G241,IFERROR(ROUND(E241*F241,2),""))</f>
        <v>360</v>
      </c>
      <c r="H241" t="str">
        <f>'Raw Data'!H241</f>
        <v>Mobile Payment</v>
      </c>
      <c r="I241" t="str">
        <f>IF('Raw Data'!D241="",IF(D241="Unknown","Could not recover","Filled from Price lookup"),IF(TRIM('Raw Data'!D241)&lt;&gt;'Raw Data'!D241,"Trimmed whitespace","OK"))</f>
        <v>OK</v>
      </c>
      <c r="J241" t="str">
        <f t="shared" si="3"/>
        <v>OK</v>
      </c>
    </row>
    <row r="242" spans="1:10">
      <c r="A242" t="str">
        <f>'Raw Data'!A242</f>
        <v>TXN_1058</v>
      </c>
      <c r="B242" s="1">
        <f>'Raw Data'!B242</f>
        <v>45672</v>
      </c>
      <c r="C242" t="str">
        <f>IFERROR(INDEX('Reference Table'!$C$2:$C$46,MATCH(D242,'Reference Table'!$A$2:$A$46,0)),"Unknown")</f>
        <v>Computers</v>
      </c>
      <c r="D242" t="str">
        <f t="array" ref="D242">IF(TRIM('Raw Data'!D242)&lt;&gt;"",TRIM('Raw Data'!D242),IFERROR(INDEX('Reference Table'!$A$2:$A$46,MATCH(VALUE('Raw Data'!E242),VALUE('Reference Table'!$B$2:$B$46),0)),"Unknown"))</f>
        <v>Comp_HDMI_Cable</v>
      </c>
      <c r="E242">
        <f>IF('Raw Data'!E242&lt;&gt;"",'Raw Data'!E242,IFERROR(INDEX('Reference Table'!$B$2:$B$32,MATCH(D242,'Reference Table'!$A$2:$A$32,0)),""))</f>
        <v>300</v>
      </c>
      <c r="F242">
        <f>IF('Raw Data'!F242&lt;&gt;"",'Raw Data'!F242,IFERROR(ROUND('Raw Data'!G242/E242,0),""))</f>
        <v>2</v>
      </c>
      <c r="G242">
        <f>IF('Raw Data'!G242&lt;&gt;"",'Raw Data'!G242,IFERROR(ROUND(E242*F242,2),""))</f>
        <v>600</v>
      </c>
      <c r="H242" t="str">
        <f>'Raw Data'!H242</f>
        <v>Cash</v>
      </c>
      <c r="I242" t="str">
        <f>IF('Raw Data'!D242="",IF(D242="Unknown","Could not recover","Filled from Price lookup"),IF(TRIM('Raw Data'!D242)&lt;&gt;'Raw Data'!D242,"Trimmed whitespace","OK"))</f>
        <v>OK</v>
      </c>
      <c r="J242" t="str">
        <f t="shared" si="3"/>
        <v>OK</v>
      </c>
    </row>
    <row r="243" spans="1:10">
      <c r="A243" t="str">
        <f>'Raw Data'!A243</f>
        <v>TXN_1491</v>
      </c>
      <c r="B243" s="1">
        <f>'Raw Data'!B243</f>
        <v>45810</v>
      </c>
      <c r="C243" t="str">
        <f>IFERROR(INDEX('Reference Table'!$C$2:$C$46,MATCH(D243,'Reference Table'!$A$2:$A$46,0)),"Unknown")</f>
        <v>Beverages</v>
      </c>
      <c r="D243" t="str">
        <f t="array" ref="D243">IF(TRIM('Raw Data'!D243)&lt;&gt;"",TRIM('Raw Data'!D243),IFERROR(INDEX('Reference Table'!$A$2:$A$46,MATCH(VALUE('Raw Data'!E243),VALUE('Reference Table'!$B$2:$B$46),0)),"Unknown"))</f>
        <v>Bev_Tea_100g</v>
      </c>
      <c r="E243">
        <f>IF('Raw Data'!E243&lt;&gt;"",'Raw Data'!E243,IFERROR(INDEX('Reference Table'!$B$2:$B$32,MATCH(D243,'Reference Table'!$A$2:$A$32,0)),""))</f>
        <v>90</v>
      </c>
      <c r="F243">
        <f>IF('Raw Data'!F243&lt;&gt;"",'Raw Data'!F243,IFERROR(ROUND('Raw Data'!G243/E243,0),""))</f>
        <v>1</v>
      </c>
      <c r="G243">
        <f>IF('Raw Data'!G243&lt;&gt;"",'Raw Data'!G243,IFERROR(ROUND(E243*F243,2),""))</f>
        <v>90</v>
      </c>
      <c r="H243" t="str">
        <f>'Raw Data'!H243</f>
        <v>Cash</v>
      </c>
      <c r="I243" t="str">
        <f>IF('Raw Data'!D243="",IF(D243="Unknown","Could not recover","Filled from Price lookup"),IF(TRIM('Raw Data'!D243)&lt;&gt;'Raw Data'!D243,"Trimmed whitespace","OK"))</f>
        <v>Trimmed whitespace</v>
      </c>
      <c r="J243" t="str">
        <f t="shared" si="3"/>
        <v>OK</v>
      </c>
    </row>
    <row r="244" spans="1:10">
      <c r="A244" t="str">
        <f>'Raw Data'!A244</f>
        <v>TXN_1185</v>
      </c>
      <c r="B244" s="1">
        <f>'Raw Data'!B244</f>
        <v>45684</v>
      </c>
      <c r="C244" t="str">
        <f>IFERROR(INDEX('Reference Table'!$C$2:$C$46,MATCH(D244,'Reference Table'!$A$2:$A$46,0)),"Unknown")</f>
        <v>Butchers</v>
      </c>
      <c r="D244" t="str">
        <f t="array" ref="D244">IF(TRIM('Raw Data'!D244)&lt;&gt;"",TRIM('Raw Data'!D244),IFERROR(INDEX('Reference Table'!$A$2:$A$46,MATCH(VALUE('Raw Data'!E244),VALUE('Reference Table'!$B$2:$B$46),0)),"Unknown"))</f>
        <v>Meat_Chicken_1kg</v>
      </c>
      <c r="E244">
        <f>IF('Raw Data'!E244&lt;&gt;"",'Raw Data'!E244,IFERROR(INDEX('Reference Table'!$B$2:$B$32,MATCH(D244,'Reference Table'!$A$2:$A$32,0)),""))</f>
        <v>220</v>
      </c>
      <c r="F244">
        <f>IF('Raw Data'!F244&lt;&gt;"",'Raw Data'!F244,IFERROR(ROUND('Raw Data'!G244/E244,0),""))</f>
        <v>6</v>
      </c>
      <c r="G244">
        <f>IF('Raw Data'!G244&lt;&gt;"",'Raw Data'!G244,IFERROR(ROUND(E244*F244,2),""))</f>
        <v>1320</v>
      </c>
      <c r="H244" t="str">
        <f>'Raw Data'!H244</f>
        <v>Credit Card</v>
      </c>
      <c r="I244" t="str">
        <f>IF('Raw Data'!D244="",IF(D244="Unknown","Could not recover","Filled from Price lookup"),IF(TRIM('Raw Data'!D244)&lt;&gt;'Raw Data'!D244,"Trimmed whitespace","OK"))</f>
        <v>OK</v>
      </c>
      <c r="J244" t="str">
        <f t="shared" si="3"/>
        <v>OK</v>
      </c>
    </row>
    <row r="245" spans="1:10">
      <c r="A245" t="str">
        <f>'Raw Data'!A245</f>
        <v>TXN_1504</v>
      </c>
      <c r="B245" s="1">
        <f>'Raw Data'!B245</f>
        <v>45874</v>
      </c>
      <c r="C245" t="str">
        <f>IFERROR(INDEX('Reference Table'!$C$2:$C$46,MATCH(D245,'Reference Table'!$A$2:$A$46,0)),"Unknown")</f>
        <v>Food</v>
      </c>
      <c r="D245" t="str">
        <f t="array" ref="D245">IF(TRIM('Raw Data'!D245)&lt;&gt;"",TRIM('Raw Data'!D245),IFERROR(INDEX('Reference Table'!$A$2:$A$46,MATCH(VALUE('Raw Data'!E245),VALUE('Reference Table'!$B$2:$B$46),0)),"Unknown"))</f>
        <v>Food_Rice_1kg</v>
      </c>
      <c r="E245">
        <f>IF('Raw Data'!E245&lt;&gt;"",'Raw Data'!E245,IFERROR(INDEX('Reference Table'!$B$2:$B$32,MATCH(D245,'Reference Table'!$A$2:$A$32,0)),""))</f>
        <v>70</v>
      </c>
      <c r="F245">
        <f>IF('Raw Data'!F245&lt;&gt;"",'Raw Data'!F245,IFERROR(ROUND('Raw Data'!G245/E245,0),""))</f>
        <v>4</v>
      </c>
      <c r="G245">
        <f>IF('Raw Data'!G245&lt;&gt;"",'Raw Data'!G245,IFERROR(ROUND(E245*F245,2),""))</f>
        <v>280</v>
      </c>
      <c r="H245" t="str">
        <f>'Raw Data'!H245</f>
        <v>Debit Card</v>
      </c>
      <c r="I245" t="str">
        <f>IF('Raw Data'!D245="",IF(D245="Unknown","Could not recover","Filled from Price lookup"),IF(TRIM('Raw Data'!D245)&lt;&gt;'Raw Data'!D245,"Trimmed whitespace","OK"))</f>
        <v>Filled from Price lookup</v>
      </c>
      <c r="J245" t="str">
        <f t="shared" si="3"/>
        <v>OK</v>
      </c>
    </row>
    <row r="246" spans="1:10">
      <c r="A246" t="str">
        <f>'Raw Data'!A246</f>
        <v>TXN_1162</v>
      </c>
      <c r="B246" s="1">
        <f>'Raw Data'!B246</f>
        <v>45898</v>
      </c>
      <c r="C246" t="str">
        <f>IFERROR(INDEX('Reference Table'!$C$2:$C$46,MATCH(D246,'Reference Table'!$A$2:$A$46,0)),"Unknown")</f>
        <v>Beverages</v>
      </c>
      <c r="D246" t="str">
        <f t="array" ref="D246">IF(TRIM('Raw Data'!D246)&lt;&gt;"",TRIM('Raw Data'!D246),IFERROR(INDEX('Reference Table'!$A$2:$A$46,MATCH(VALUE('Raw Data'!E246),VALUE('Reference Table'!$B$2:$B$46),0)),"Unknown"))</f>
        <v>Bev_Coffee_200g</v>
      </c>
      <c r="E246">
        <f>IF('Raw Data'!E246&lt;&gt;"",'Raw Data'!E246,IFERROR(INDEX('Reference Table'!$B$2:$B$32,MATCH(D246,'Reference Table'!$A$2:$A$32,0)),""))</f>
        <v>180</v>
      </c>
      <c r="F246">
        <f>IF('Raw Data'!F246&lt;&gt;"",'Raw Data'!F246,IFERROR(ROUND('Raw Data'!G246/E246,0),""))</f>
        <v>3</v>
      </c>
      <c r="G246">
        <f>IF('Raw Data'!G246&lt;&gt;"",'Raw Data'!G246,IFERROR(ROUND(E246*F246,2),""))</f>
        <v>540</v>
      </c>
      <c r="H246" t="str">
        <f>'Raw Data'!H246</f>
        <v>Mobile Payment</v>
      </c>
      <c r="I246" t="str">
        <f>IF('Raw Data'!D246="",IF(D246="Unknown","Could not recover","Filled from Price lookup"),IF(TRIM('Raw Data'!D246)&lt;&gt;'Raw Data'!D246,"Trimmed whitespace","OK"))</f>
        <v>Filled from Price lookup</v>
      </c>
      <c r="J246" t="str">
        <f t="shared" si="3"/>
        <v>OK</v>
      </c>
    </row>
    <row r="247" spans="1:10">
      <c r="A247" t="str">
        <f>'Raw Data'!A247</f>
        <v>TXN_1228</v>
      </c>
      <c r="B247" s="1">
        <f>'Raw Data'!B247</f>
        <v>45682</v>
      </c>
      <c r="C247" t="str">
        <f>IFERROR(INDEX('Reference Table'!$C$2:$C$46,MATCH(D247,'Reference Table'!$A$2:$A$46,0)),"Unknown")</f>
        <v>Food</v>
      </c>
      <c r="D247" t="str">
        <f t="array" ref="D247">IF(TRIM('Raw Data'!D247)&lt;&gt;"",TRIM('Raw Data'!D247),IFERROR(INDEX('Reference Table'!$A$2:$A$46,MATCH(VALUE('Raw Data'!E247),VALUE('Reference Table'!$B$2:$B$46),0)),"Unknown"))</f>
        <v>Food_Cereal_500g</v>
      </c>
      <c r="E247">
        <f>IF('Raw Data'!E247&lt;&gt;"",'Raw Data'!E247,IFERROR(INDEX('Reference Table'!$B$2:$B$32,MATCH(D247,'Reference Table'!$A$2:$A$32,0)),""))</f>
        <v>150</v>
      </c>
      <c r="F247">
        <f>IF('Raw Data'!F247&lt;&gt;"",'Raw Data'!F247,IFERROR(ROUND('Raw Data'!G247/E247,0),""))</f>
        <v>6</v>
      </c>
      <c r="G247">
        <f>IF('Raw Data'!G247&lt;&gt;"",'Raw Data'!G247,IFERROR(ROUND(E247*F247,2),""))</f>
        <v>900</v>
      </c>
      <c r="H247" t="str">
        <f>'Raw Data'!H247</f>
        <v>Cash</v>
      </c>
      <c r="I247" t="str">
        <f>IF('Raw Data'!D247="",IF(D247="Unknown","Could not recover","Filled from Price lookup"),IF(TRIM('Raw Data'!D247)&lt;&gt;'Raw Data'!D247,"Trimmed whitespace","OK"))</f>
        <v>OK</v>
      </c>
      <c r="J247" t="str">
        <f t="shared" si="3"/>
        <v>OK</v>
      </c>
    </row>
    <row r="248" spans="1:10">
      <c r="A248" t="str">
        <f>'Raw Data'!A248</f>
        <v>TXN_1459</v>
      </c>
      <c r="B248" s="1">
        <f>'Raw Data'!B248</f>
        <v>45707</v>
      </c>
      <c r="C248" t="str">
        <f>IFERROR(INDEX('Reference Table'!$C$2:$C$46,MATCH(D248,'Reference Table'!$A$2:$A$46,0)),"Unknown")</f>
        <v>Electric Accessories</v>
      </c>
      <c r="D248" t="str">
        <f t="array" ref="D248">IF(TRIM('Raw Data'!D248)&lt;&gt;"",TRIM('Raw Data'!D248),IFERROR(INDEX('Reference Table'!$A$2:$A$46,MATCH(VALUE('Raw Data'!E248),VALUE('Reference Table'!$B$2:$B$46),0)),"Unknown"))</f>
        <v>Elec_Powerbank</v>
      </c>
      <c r="E248">
        <f>IF('Raw Data'!E248&lt;&gt;"",'Raw Data'!E248,IFERROR(INDEX('Reference Table'!$B$2:$B$32,MATCH(D248,'Reference Table'!$A$2:$A$32,0)),""))</f>
        <v>900</v>
      </c>
      <c r="F248">
        <f>IF('Raw Data'!F248&lt;&gt;"",'Raw Data'!F248,IFERROR(ROUND('Raw Data'!G248/E248,0),""))</f>
        <v>3</v>
      </c>
      <c r="G248">
        <f>IF('Raw Data'!G248&lt;&gt;"",'Raw Data'!G248,IFERROR(ROUND(E248*F248,2),""))</f>
        <v>2700</v>
      </c>
      <c r="H248" t="str">
        <f>'Raw Data'!H248</f>
        <v>Cash</v>
      </c>
      <c r="I248" t="str">
        <f>IF('Raw Data'!D248="",IF(D248="Unknown","Could not recover","Filled from Price lookup"),IF(TRIM('Raw Data'!D248)&lt;&gt;'Raw Data'!D248,"Trimmed whitespace","OK"))</f>
        <v>OK</v>
      </c>
      <c r="J248" t="str">
        <f t="shared" si="3"/>
        <v>OK</v>
      </c>
    </row>
    <row r="249" spans="1:10">
      <c r="A249" t="str">
        <f>'Raw Data'!A249</f>
        <v>TXN_1342</v>
      </c>
      <c r="B249" s="1">
        <f>'Raw Data'!B249</f>
        <v>45778</v>
      </c>
      <c r="C249" t="str">
        <f>IFERROR(INDEX('Reference Table'!$C$2:$C$46,MATCH(D249,'Reference Table'!$A$2:$A$46,0)),"Unknown")</f>
        <v>Food</v>
      </c>
      <c r="D249" t="str">
        <f t="array" ref="D249">IF(TRIM('Raw Data'!D249)&lt;&gt;"",TRIM('Raw Data'!D249),IFERROR(INDEX('Reference Table'!$A$2:$A$46,MATCH(VALUE('Raw Data'!E249),VALUE('Reference Table'!$B$2:$B$46),0)),"Unknown"))</f>
        <v>Food_Cereal_500g</v>
      </c>
      <c r="E249">
        <f>IF('Raw Data'!E249&lt;&gt;"",'Raw Data'!E249,IFERROR(INDEX('Reference Table'!$B$2:$B$32,MATCH(D249,'Reference Table'!$A$2:$A$32,0)),""))</f>
        <v>150</v>
      </c>
      <c r="F249">
        <f>IF('Raw Data'!F249&lt;&gt;"",'Raw Data'!F249,IFERROR(ROUND('Raw Data'!G249/E249,0),""))</f>
        <v>6</v>
      </c>
      <c r="G249">
        <f>IF('Raw Data'!G249&lt;&gt;"",'Raw Data'!G249,IFERROR(ROUND(E249*F249,2),""))</f>
        <v>900</v>
      </c>
      <c r="H249" t="str">
        <f>'Raw Data'!H249</f>
        <v>Mobile Payment</v>
      </c>
      <c r="I249" t="str">
        <f>IF('Raw Data'!D249="",IF(D249="Unknown","Could not recover","Filled from Price lookup"),IF(TRIM('Raw Data'!D249)&lt;&gt;'Raw Data'!D249,"Trimmed whitespace","OK"))</f>
        <v>OK</v>
      </c>
      <c r="J249" t="str">
        <f t="shared" si="3"/>
        <v>OK</v>
      </c>
    </row>
    <row r="250" spans="1:10">
      <c r="A250" t="str">
        <f>'Raw Data'!A250</f>
        <v>TXN_1065</v>
      </c>
      <c r="B250" s="1">
        <f>'Raw Data'!B250</f>
        <v>45725</v>
      </c>
      <c r="C250" t="str">
        <f>IFERROR(INDEX('Reference Table'!$C$2:$C$46,MATCH(D250,'Reference Table'!$A$2:$A$46,0)),"Unknown")</f>
        <v>Milk Products</v>
      </c>
      <c r="D250" t="str">
        <f t="array" ref="D250">IF(TRIM('Raw Data'!D250)&lt;&gt;"",TRIM('Raw Data'!D250),IFERROR(INDEX('Reference Table'!$A$2:$A$46,MATCH(VALUE('Raw Data'!E250),VALUE('Reference Table'!$B$2:$B$46),0)),"Unknown"))</f>
        <v>Milk_Paneer_200g</v>
      </c>
      <c r="E250">
        <f>IF('Raw Data'!E250&lt;&gt;"",'Raw Data'!E250,IFERROR(INDEX('Reference Table'!$B$2:$B$32,MATCH(D250,'Reference Table'!$A$2:$A$32,0)),""))</f>
        <v>80</v>
      </c>
      <c r="F250">
        <f>IF('Raw Data'!F250&lt;&gt;"",'Raw Data'!F250,IFERROR(ROUND('Raw Data'!G250/E250,0),""))</f>
        <v>5</v>
      </c>
      <c r="G250">
        <f>IF('Raw Data'!G250&lt;&gt;"",'Raw Data'!G250,IFERROR(ROUND(E250*F250,2),""))</f>
        <v>400</v>
      </c>
      <c r="H250" t="str">
        <f>'Raw Data'!H250</f>
        <v>Credit Card</v>
      </c>
      <c r="I250" t="str">
        <f>IF('Raw Data'!D250="",IF(D250="Unknown","Could not recover","Filled from Price lookup"),IF(TRIM('Raw Data'!D250)&lt;&gt;'Raw Data'!D250,"Trimmed whitespace","OK"))</f>
        <v>OK</v>
      </c>
      <c r="J250" t="str">
        <f t="shared" si="3"/>
        <v>OK</v>
      </c>
    </row>
    <row r="251" spans="1:10">
      <c r="A251" t="str">
        <f>'Raw Data'!A251</f>
        <v>TXN_1442</v>
      </c>
      <c r="B251" s="1">
        <f>'Raw Data'!B251</f>
        <v>45689</v>
      </c>
      <c r="C251" t="str">
        <f>IFERROR(INDEX('Reference Table'!$C$2:$C$46,MATCH(D251,'Reference Table'!$A$2:$A$46,0)),"Unknown")</f>
        <v>Patisserie</v>
      </c>
      <c r="D251" t="str">
        <f t="array" ref="D251">IF(TRIM('Raw Data'!D251)&lt;&gt;"",TRIM('Raw Data'!D251),IFERROR(INDEX('Reference Table'!$A$2:$A$46,MATCH(VALUE('Raw Data'!E251),VALUE('Reference Table'!$B$2:$B$46),0)),"Unknown"))</f>
        <v>Pat_Donut</v>
      </c>
      <c r="E251">
        <f>IF('Raw Data'!E251&lt;&gt;"",'Raw Data'!E251,IFERROR(INDEX('Reference Table'!$B$2:$B$32,MATCH(D251,'Reference Table'!$A$2:$A$32,0)),""))</f>
        <v>30</v>
      </c>
      <c r="F251">
        <f>IF('Raw Data'!F251&lt;&gt;"",'Raw Data'!F251,IFERROR(ROUND('Raw Data'!G251/E251,0),""))</f>
        <v>3</v>
      </c>
      <c r="G251">
        <f>IF('Raw Data'!G251&lt;&gt;"",'Raw Data'!G251,IFERROR(ROUND(E251*F251,2),""))</f>
        <v>90</v>
      </c>
      <c r="H251" t="str">
        <f>'Raw Data'!H251</f>
        <v>Mobile Payment</v>
      </c>
      <c r="I251" t="str">
        <f>IF('Raw Data'!D251="",IF(D251="Unknown","Could not recover","Filled from Price lookup"),IF(TRIM('Raw Data'!D251)&lt;&gt;'Raw Data'!D251,"Trimmed whitespace","OK"))</f>
        <v>OK</v>
      </c>
      <c r="J251" t="str">
        <f t="shared" si="3"/>
        <v>OK</v>
      </c>
    </row>
    <row r="252" spans="1:10">
      <c r="A252" t="str">
        <f>'Raw Data'!A252</f>
        <v>TXN_1094</v>
      </c>
      <c r="B252" s="1">
        <f>'Raw Data'!B252</f>
        <v>45761</v>
      </c>
      <c r="C252" t="str">
        <f>IFERROR(INDEX('Reference Table'!$C$2:$C$46,MATCH(D252,'Reference Table'!$A$2:$A$46,0)),"Unknown")</f>
        <v>Electric Accessories</v>
      </c>
      <c r="D252" t="str">
        <f t="array" ref="D252">IF(TRIM('Raw Data'!D252)&lt;&gt;"",TRIM('Raw Data'!D252),IFERROR(INDEX('Reference Table'!$A$2:$A$46,MATCH(VALUE('Raw Data'!E252),VALUE('Reference Table'!$B$2:$B$46),0)),"Unknown"))</f>
        <v>Elec_Charger</v>
      </c>
      <c r="E252">
        <f>IF('Raw Data'!E252&lt;&gt;"",'Raw Data'!E252,IFERROR(INDEX('Reference Table'!$B$2:$B$32,MATCH(D252,'Reference Table'!$A$2:$A$32,0)),""))</f>
        <v>400</v>
      </c>
      <c r="F252">
        <f>IF('Raw Data'!F252&lt;&gt;"",'Raw Data'!F252,IFERROR(ROUND('Raw Data'!G252/E252,0),""))</f>
        <v>3</v>
      </c>
      <c r="G252">
        <f>IF('Raw Data'!G252&lt;&gt;"",'Raw Data'!G252,IFERROR(ROUND(E252*F252,2),""))</f>
        <v>1200</v>
      </c>
      <c r="H252" t="str">
        <f>'Raw Data'!H252</f>
        <v>Debit Card</v>
      </c>
      <c r="I252" t="str">
        <f>IF('Raw Data'!D252="",IF(D252="Unknown","Could not recover","Filled from Price lookup"),IF(TRIM('Raw Data'!D252)&lt;&gt;'Raw Data'!D252,"Trimmed whitespace","OK"))</f>
        <v>OK</v>
      </c>
      <c r="J252" t="str">
        <f t="shared" si="3"/>
        <v>OK</v>
      </c>
    </row>
    <row r="253" spans="1:10">
      <c r="A253" t="str">
        <f>'Raw Data'!A253</f>
        <v>TXN_1302</v>
      </c>
      <c r="B253" s="1">
        <f>'Raw Data'!B253</f>
        <v>45747</v>
      </c>
      <c r="C253" t="str">
        <f>IFERROR(INDEX('Reference Table'!$C$2:$C$46,MATCH(D253,'Reference Table'!$A$2:$A$46,0)),"Unknown")</f>
        <v>Milk Products</v>
      </c>
      <c r="D253" t="str">
        <f t="array" ref="D253">IF(TRIM('Raw Data'!D253)&lt;&gt;"",TRIM('Raw Data'!D253),IFERROR(INDEX('Reference Table'!$A$2:$A$46,MATCH(VALUE('Raw Data'!E253),VALUE('Reference Table'!$B$2:$B$46),0)),"Unknown"))</f>
        <v>Milk_Yogurt_400g</v>
      </c>
      <c r="E253">
        <f>IF('Raw Data'!E253&lt;&gt;"",'Raw Data'!E253,IFERROR(INDEX('Reference Table'!$B$2:$B$32,MATCH(D253,'Reference Table'!$A$2:$A$32,0)),""))</f>
        <v>60</v>
      </c>
      <c r="F253">
        <f>IF('Raw Data'!F253&lt;&gt;"",'Raw Data'!F253,IFERROR(ROUND('Raw Data'!G253/E253,0),""))</f>
        <v>3</v>
      </c>
      <c r="G253">
        <f>IF('Raw Data'!G253&lt;&gt;"",'Raw Data'!G253,IFERROR(ROUND(E253*F253,2),""))</f>
        <v>180</v>
      </c>
      <c r="H253" t="str">
        <f>'Raw Data'!H253</f>
        <v>Credit Card</v>
      </c>
      <c r="I253" t="str">
        <f>IF('Raw Data'!D253="",IF(D253="Unknown","Could not recover","Filled from Price lookup"),IF(TRIM('Raw Data'!D253)&lt;&gt;'Raw Data'!D253,"Trimmed whitespace","OK"))</f>
        <v>OK</v>
      </c>
      <c r="J253" t="str">
        <f t="shared" si="3"/>
        <v>OK</v>
      </c>
    </row>
    <row r="254" spans="1:10">
      <c r="A254" t="str">
        <f>'Raw Data'!A254</f>
        <v>TXN_1443</v>
      </c>
      <c r="B254" s="1">
        <f>'Raw Data'!B254</f>
        <v>45855</v>
      </c>
      <c r="C254" t="str">
        <f>IFERROR(INDEX('Reference Table'!$C$2:$C$46,MATCH(D254,'Reference Table'!$A$2:$A$46,0)),"Unknown")</f>
        <v>Electric Accessories</v>
      </c>
      <c r="D254" t="str">
        <f t="array" ref="D254">IF(TRIM('Raw Data'!D254)&lt;&gt;"",TRIM('Raw Data'!D254),IFERROR(INDEX('Reference Table'!$A$2:$A$46,MATCH(VALUE('Raw Data'!E254),VALUE('Reference Table'!$B$2:$B$46),0)),"Unknown"))</f>
        <v>Elec_Cable_USB</v>
      </c>
      <c r="E254">
        <f>IF('Raw Data'!E254&lt;&gt;"",'Raw Data'!E254,IFERROR(INDEX('Reference Table'!$B$2:$B$32,MATCH(D254,'Reference Table'!$A$2:$A$32,0)),""))</f>
        <v>150</v>
      </c>
      <c r="F254">
        <f>IF('Raw Data'!F254&lt;&gt;"",'Raw Data'!F254,IFERROR(ROUND('Raw Data'!G254/E254,0),""))</f>
        <v>3</v>
      </c>
      <c r="G254">
        <f>IF('Raw Data'!G254&lt;&gt;"",'Raw Data'!G254,IFERROR(ROUND(E254*F254,2),""))</f>
        <v>450</v>
      </c>
      <c r="H254" t="str">
        <f>'Raw Data'!H254</f>
        <v>Credit Card</v>
      </c>
      <c r="I254" t="str">
        <f>IF('Raw Data'!D254="",IF(D254="Unknown","Could not recover","Filled from Price lookup"),IF(TRIM('Raw Data'!D254)&lt;&gt;'Raw Data'!D254,"Trimmed whitespace","OK"))</f>
        <v>OK</v>
      </c>
      <c r="J254" t="str">
        <f t="shared" si="3"/>
        <v>OK</v>
      </c>
    </row>
    <row r="255" spans="1:10">
      <c r="A255" t="str">
        <f>'Raw Data'!A255</f>
        <v>TXN_1263</v>
      </c>
      <c r="B255" s="1">
        <f>'Raw Data'!B255</f>
        <v>45813</v>
      </c>
      <c r="C255" t="str">
        <f>IFERROR(INDEX('Reference Table'!$C$2:$C$46,MATCH(D255,'Reference Table'!$A$2:$A$46,0)),"Unknown")</f>
        <v>Food</v>
      </c>
      <c r="D255" t="str">
        <f t="array" ref="D255">IF(TRIM('Raw Data'!D255)&lt;&gt;"",TRIM('Raw Data'!D255),IFERROR(INDEX('Reference Table'!$A$2:$A$46,MATCH(VALUE('Raw Data'!E255),VALUE('Reference Table'!$B$2:$B$46),0)),"Unknown"))</f>
        <v>Food_Rice_1kg</v>
      </c>
      <c r="E255">
        <f>IF('Raw Data'!E255&lt;&gt;"",'Raw Data'!E255,IFERROR(INDEX('Reference Table'!$B$2:$B$32,MATCH(D255,'Reference Table'!$A$2:$A$32,0)),""))</f>
        <v>70</v>
      </c>
      <c r="F255">
        <f>IF('Raw Data'!F255&lt;&gt;"",'Raw Data'!F255,IFERROR(ROUND('Raw Data'!G255/E255,0),""))</f>
        <v>3</v>
      </c>
      <c r="G255">
        <f>IF('Raw Data'!G255&lt;&gt;"",'Raw Data'!G255,IFERROR(ROUND(E255*F255,2),""))</f>
        <v>210</v>
      </c>
      <c r="H255" t="str">
        <f>'Raw Data'!H255</f>
        <v>Credit Card</v>
      </c>
      <c r="I255" t="str">
        <f>IF('Raw Data'!D255="",IF(D255="Unknown","Could not recover","Filled from Price lookup"),IF(TRIM('Raw Data'!D255)&lt;&gt;'Raw Data'!D255,"Trimmed whitespace","OK"))</f>
        <v>Filled from Price lookup</v>
      </c>
      <c r="J255" t="str">
        <f t="shared" si="3"/>
        <v>OK</v>
      </c>
    </row>
    <row r="256" spans="1:10">
      <c r="A256" t="str">
        <f>'Raw Data'!A256</f>
        <v>TXN_1363</v>
      </c>
      <c r="B256" s="1">
        <f>'Raw Data'!B256</f>
        <v>45770</v>
      </c>
      <c r="C256" t="str">
        <f>IFERROR(INDEX('Reference Table'!$C$2:$C$46,MATCH(D256,'Reference Table'!$A$2:$A$46,0)),"Unknown")</f>
        <v>Electric Accessories</v>
      </c>
      <c r="D256" t="str">
        <f t="array" ref="D256">IF(TRIM('Raw Data'!D256)&lt;&gt;"",TRIM('Raw Data'!D256),IFERROR(INDEX('Reference Table'!$A$2:$A$46,MATCH(VALUE('Raw Data'!E256),VALUE('Reference Table'!$B$2:$B$46),0)),"Unknown"))</f>
        <v>Elec_Cable_USB</v>
      </c>
      <c r="E256">
        <f>IF('Raw Data'!E256&lt;&gt;"",'Raw Data'!E256,IFERROR(INDEX('Reference Table'!$B$2:$B$32,MATCH(D256,'Reference Table'!$A$2:$A$32,0)),""))</f>
        <v>150</v>
      </c>
      <c r="F256">
        <f>IF('Raw Data'!F256&lt;&gt;"",'Raw Data'!F256,IFERROR(ROUND('Raw Data'!G256/E256,0),""))</f>
        <v>6</v>
      </c>
      <c r="G256">
        <f>IF('Raw Data'!G256&lt;&gt;"",'Raw Data'!G256,IFERROR(ROUND(E256*F256,2),""))</f>
        <v>900</v>
      </c>
      <c r="H256" t="str">
        <f>'Raw Data'!H256</f>
        <v>Mobile Payment</v>
      </c>
      <c r="I256" t="str">
        <f>IF('Raw Data'!D256="",IF(D256="Unknown","Could not recover","Filled from Price lookup"),IF(TRIM('Raw Data'!D256)&lt;&gt;'Raw Data'!D256,"Trimmed whitespace","OK"))</f>
        <v>OK</v>
      </c>
      <c r="J256" t="str">
        <f t="shared" si="3"/>
        <v>OK</v>
      </c>
    </row>
    <row r="257" spans="1:10">
      <c r="A257" t="str">
        <f>'Raw Data'!A257</f>
        <v>TXN_1362</v>
      </c>
      <c r="B257" s="1">
        <f>'Raw Data'!B257</f>
        <v>45689</v>
      </c>
      <c r="C257" t="str">
        <f>IFERROR(INDEX('Reference Table'!$C$2:$C$46,MATCH(D257,'Reference Table'!$A$2:$A$46,0)),"Unknown")</f>
        <v>Butchers</v>
      </c>
      <c r="D257" t="str">
        <f t="array" ref="D257">IF(TRIM('Raw Data'!D257)&lt;&gt;"",TRIM('Raw Data'!D257),IFERROR(INDEX('Reference Table'!$A$2:$A$46,MATCH(VALUE('Raw Data'!E257),VALUE('Reference Table'!$B$2:$B$46),0)),"Unknown"))</f>
        <v>Meat_Mutton_1kg</v>
      </c>
      <c r="E257">
        <f>IF('Raw Data'!E257&lt;&gt;"",'Raw Data'!E257,IFERROR(INDEX('Reference Table'!$B$2:$B$32,MATCH(D257,'Reference Table'!$A$2:$A$32,0)),""))</f>
        <v>650</v>
      </c>
      <c r="F257">
        <f>IF('Raw Data'!F257&lt;&gt;"",'Raw Data'!F257,IFERROR(ROUND('Raw Data'!G257/E257,0),""))</f>
        <v>3</v>
      </c>
      <c r="G257">
        <f>IF('Raw Data'!G257&lt;&gt;"",'Raw Data'!G257,IFERROR(ROUND(E257*F257,2),""))</f>
        <v>1950</v>
      </c>
      <c r="H257" t="str">
        <f>'Raw Data'!H257</f>
        <v>Debit Card</v>
      </c>
      <c r="I257" t="str">
        <f>IF('Raw Data'!D257="",IF(D257="Unknown","Could not recover","Filled from Price lookup"),IF(TRIM('Raw Data'!D257)&lt;&gt;'Raw Data'!D257,"Trimmed whitespace","OK"))</f>
        <v>Trimmed whitespace</v>
      </c>
      <c r="J257" t="str">
        <f t="shared" si="3"/>
        <v>OK</v>
      </c>
    </row>
    <row r="258" spans="1:10">
      <c r="A258" t="str">
        <f>'Raw Data'!A258</f>
        <v>TXN_1333</v>
      </c>
      <c r="B258" s="1">
        <f>'Raw Data'!B258</f>
        <v>45693</v>
      </c>
      <c r="C258" t="str">
        <f>IFERROR(INDEX('Reference Table'!$C$2:$C$46,MATCH(D258,'Reference Table'!$A$2:$A$46,0)),"Unknown")</f>
        <v>Beverages</v>
      </c>
      <c r="D258" t="str">
        <f t="array" ref="D258">IF(TRIM('Raw Data'!D258)&lt;&gt;"",TRIM('Raw Data'!D258),IFERROR(INDEX('Reference Table'!$A$2:$A$46,MATCH(VALUE('Raw Data'!E258),VALUE('Reference Table'!$B$2:$B$46),0)),"Unknown"))</f>
        <v>Bev_Cola_1L</v>
      </c>
      <c r="E258">
        <f>IF('Raw Data'!E258&lt;&gt;"",'Raw Data'!E258,IFERROR(INDEX('Reference Table'!$B$2:$B$32,MATCH(D258,'Reference Table'!$A$2:$A$32,0)),""))</f>
        <v>60</v>
      </c>
      <c r="F258">
        <f>IF('Raw Data'!F258&lt;&gt;"",'Raw Data'!F258,IFERROR(ROUND('Raw Data'!G258/E258,0),""))</f>
        <v>5</v>
      </c>
      <c r="G258">
        <f>IF('Raw Data'!G258&lt;&gt;"",'Raw Data'!G258,IFERROR(ROUND(E258*F258,2),""))</f>
        <v>300</v>
      </c>
      <c r="H258" t="str">
        <f>'Raw Data'!H258</f>
        <v>Debit Card</v>
      </c>
      <c r="I258" t="str">
        <f>IF('Raw Data'!D258="",IF(D258="Unknown","Could not recover","Filled from Price lookup"),IF(TRIM('Raw Data'!D258)&lt;&gt;'Raw Data'!D258,"Trimmed whitespace","OK"))</f>
        <v>Filled from Price lookup</v>
      </c>
      <c r="J258" t="str">
        <f t="shared" si="3"/>
        <v>OK</v>
      </c>
    </row>
    <row r="259" spans="1:10">
      <c r="A259" t="str">
        <f>'Raw Data'!A259</f>
        <v>TXN_1471</v>
      </c>
      <c r="B259" s="1">
        <f>'Raw Data'!B259</f>
        <v>45832</v>
      </c>
      <c r="C259" t="str">
        <f>IFERROR(INDEX('Reference Table'!$C$2:$C$46,MATCH(D259,'Reference Table'!$A$2:$A$46,0)),"Unknown")</f>
        <v>Milk Products</v>
      </c>
      <c r="D259" t="str">
        <f t="array" ref="D259">IF(TRIM('Raw Data'!D259)&lt;&gt;"",TRIM('Raw Data'!D259),IFERROR(INDEX('Reference Table'!$A$2:$A$46,MATCH(VALUE('Raw Data'!E259),VALUE('Reference Table'!$B$2:$B$46),0)),"Unknown"))</f>
        <v>Milk_Paneer_200g</v>
      </c>
      <c r="E259">
        <f>IF('Raw Data'!E259&lt;&gt;"",'Raw Data'!E259,IFERROR(INDEX('Reference Table'!$B$2:$B$32,MATCH(D259,'Reference Table'!$A$2:$A$32,0)),""))</f>
        <v>80</v>
      </c>
      <c r="F259">
        <f>IF('Raw Data'!F259&lt;&gt;"",'Raw Data'!F259,IFERROR(ROUND('Raw Data'!G259/E259,0),""))</f>
        <v>2</v>
      </c>
      <c r="G259">
        <f>IF('Raw Data'!G259&lt;&gt;"",'Raw Data'!G259,IFERROR(ROUND(E259*F259,2),""))</f>
        <v>160</v>
      </c>
      <c r="H259" t="str">
        <f>'Raw Data'!H259</f>
        <v>Cash</v>
      </c>
      <c r="I259" t="str">
        <f>IF('Raw Data'!D259="",IF(D259="Unknown","Could not recover","Filled from Price lookup"),IF(TRIM('Raw Data'!D259)&lt;&gt;'Raw Data'!D259,"Trimmed whitespace","OK"))</f>
        <v>OK</v>
      </c>
      <c r="J259" t="str">
        <f t="shared" ref="J259:J322" si="4">IF(AND(E259&lt;&gt;"",F259&lt;&gt;"",G259&lt;&gt;""),IF(ROUND(E259*F259,2)=ROUND(G259,2),"OK","Mismatch"),"Incomplete")</f>
        <v>OK</v>
      </c>
    </row>
    <row r="260" spans="1:10">
      <c r="A260" t="str">
        <f>'Raw Data'!A260</f>
        <v>TXN_1305</v>
      </c>
      <c r="B260" s="1">
        <f>'Raw Data'!B260</f>
        <v>45772</v>
      </c>
      <c r="C260" t="str">
        <f>IFERROR(INDEX('Reference Table'!$C$2:$C$46,MATCH(D260,'Reference Table'!$A$2:$A$46,0)),"Unknown")</f>
        <v>Furniture</v>
      </c>
      <c r="D260" t="str">
        <f t="array" ref="D260">IF(TRIM('Raw Data'!D260)&lt;&gt;"",TRIM('Raw Data'!D260),IFERROR(INDEX('Reference Table'!$A$2:$A$46,MATCH(VALUE('Raw Data'!E260),VALUE('Reference Table'!$B$2:$B$46),0)),"Unknown"))</f>
        <v>Furn_Small_Table</v>
      </c>
      <c r="E260">
        <f>IF('Raw Data'!E260&lt;&gt;"",'Raw Data'!E260,IFERROR(INDEX('Reference Table'!$B$2:$B$32,MATCH(D260,'Reference Table'!$A$2:$A$32,0)),""))</f>
        <v>3200</v>
      </c>
      <c r="F260">
        <f>IF('Raw Data'!F260&lt;&gt;"",'Raw Data'!F260,IFERROR(ROUND('Raw Data'!G260/E260,0),""))</f>
        <v>5</v>
      </c>
      <c r="G260">
        <f>IF('Raw Data'!G260&lt;&gt;"",'Raw Data'!G260,IFERROR(ROUND(E260*F260,2),""))</f>
        <v>16000</v>
      </c>
      <c r="H260" t="str">
        <f>'Raw Data'!H260</f>
        <v>Debit Card</v>
      </c>
      <c r="I260" t="str">
        <f>IF('Raw Data'!D260="",IF(D260="Unknown","Could not recover","Filled from Price lookup"),IF(TRIM('Raw Data'!D260)&lt;&gt;'Raw Data'!D260,"Trimmed whitespace","OK"))</f>
        <v>OK</v>
      </c>
      <c r="J260" t="str">
        <f t="shared" si="4"/>
        <v>OK</v>
      </c>
    </row>
    <row r="261" spans="1:10">
      <c r="A261" t="str">
        <f>'Raw Data'!A261</f>
        <v>TXN_1432</v>
      </c>
      <c r="B261" s="1">
        <f>'Raw Data'!B261</f>
        <v>45804</v>
      </c>
      <c r="C261" t="str">
        <f>IFERROR(INDEX('Reference Table'!$C$2:$C$46,MATCH(D261,'Reference Table'!$A$2:$A$46,0)),"Unknown")</f>
        <v>Patisserie</v>
      </c>
      <c r="D261" t="str">
        <f t="array" ref="D261">IF(TRIM('Raw Data'!D261)&lt;&gt;"",TRIM('Raw Data'!D261),IFERROR(INDEX('Reference Table'!$A$2:$A$46,MATCH(VALUE('Raw Data'!E261),VALUE('Reference Table'!$B$2:$B$46),0)),"Unknown"))</f>
        <v>Pat_Croissant</v>
      </c>
      <c r="E261">
        <f>IF('Raw Data'!E261&lt;&gt;"",'Raw Data'!E261,IFERROR(INDEX('Reference Table'!$B$2:$B$32,MATCH(D261,'Reference Table'!$A$2:$A$32,0)),""))</f>
        <v>40</v>
      </c>
      <c r="F261">
        <f>IF('Raw Data'!F261&lt;&gt;"",'Raw Data'!F261,IFERROR(ROUND('Raw Data'!G261/E261,0),""))</f>
        <v>1</v>
      </c>
      <c r="G261">
        <f>IF('Raw Data'!G261&lt;&gt;"",'Raw Data'!G261,IFERROR(ROUND(E261*F261,2),""))</f>
        <v>40</v>
      </c>
      <c r="H261" t="str">
        <f>'Raw Data'!H261</f>
        <v>Cash</v>
      </c>
      <c r="I261" t="str">
        <f>IF('Raw Data'!D261="",IF(D261="Unknown","Could not recover","Filled from Price lookup"),IF(TRIM('Raw Data'!D261)&lt;&gt;'Raw Data'!D261,"Trimmed whitespace","OK"))</f>
        <v>OK</v>
      </c>
      <c r="J261" t="str">
        <f t="shared" si="4"/>
        <v>OK</v>
      </c>
    </row>
    <row r="262" spans="1:10">
      <c r="A262" t="str">
        <f>'Raw Data'!A262</f>
        <v>TXN_1318</v>
      </c>
      <c r="B262" s="1">
        <f>'Raw Data'!B262</f>
        <v>45743</v>
      </c>
      <c r="C262" t="str">
        <f>IFERROR(INDEX('Reference Table'!$C$2:$C$46,MATCH(D262,'Reference Table'!$A$2:$A$46,0)),"Unknown")</f>
        <v>Furniture</v>
      </c>
      <c r="D262" t="str">
        <f t="array" ref="D262">IF(TRIM('Raw Data'!D262)&lt;&gt;"",TRIM('Raw Data'!D262),IFERROR(INDEX('Reference Table'!$A$2:$A$46,MATCH(VALUE('Raw Data'!E262),VALUE('Reference Table'!$B$2:$B$46),0)),"Unknown"))</f>
        <v>Furn_Shelf</v>
      </c>
      <c r="E262">
        <f>IF('Raw Data'!E262&lt;&gt;"",'Raw Data'!E262,IFERROR(INDEX('Reference Table'!$B$2:$B$32,MATCH(D262,'Reference Table'!$A$2:$A$32,0)),""))</f>
        <v>1800</v>
      </c>
      <c r="F262">
        <f>IF('Raw Data'!F262&lt;&gt;"",'Raw Data'!F262,IFERROR(ROUND('Raw Data'!G262/E262,0),""))</f>
        <v>2</v>
      </c>
      <c r="G262">
        <f>IF('Raw Data'!G262&lt;&gt;"",'Raw Data'!G262,IFERROR(ROUND(E262*F262,2),""))</f>
        <v>3600</v>
      </c>
      <c r="H262" t="str">
        <f>'Raw Data'!H262</f>
        <v>Cash</v>
      </c>
      <c r="I262" t="str">
        <f>IF('Raw Data'!D262="",IF(D262="Unknown","Could not recover","Filled from Price lookup"),IF(TRIM('Raw Data'!D262)&lt;&gt;'Raw Data'!D262,"Trimmed whitespace","OK"))</f>
        <v>OK</v>
      </c>
      <c r="J262" t="str">
        <f t="shared" si="4"/>
        <v>OK</v>
      </c>
    </row>
    <row r="263" spans="1:10">
      <c r="A263" t="str">
        <f>'Raw Data'!A263</f>
        <v>TXN_1509</v>
      </c>
      <c r="B263" s="1">
        <f>'Raw Data'!B263</f>
        <v>45688</v>
      </c>
      <c r="C263" t="str">
        <f>IFERROR(INDEX('Reference Table'!$C$2:$C$46,MATCH(D263,'Reference Table'!$A$2:$A$46,0)),"Unknown")</f>
        <v>Milk Products</v>
      </c>
      <c r="D263" t="str">
        <f t="array" ref="D263">IF(TRIM('Raw Data'!D263)&lt;&gt;"",TRIM('Raw Data'!D263),IFERROR(INDEX('Reference Table'!$A$2:$A$46,MATCH(VALUE('Raw Data'!E263),VALUE('Reference Table'!$B$2:$B$46),0)),"Unknown"))</f>
        <v>Milk_Yogurt_400g</v>
      </c>
      <c r="E263">
        <f>IF('Raw Data'!E263&lt;&gt;"",'Raw Data'!E263,IFERROR(INDEX('Reference Table'!$B$2:$B$32,MATCH(D263,'Reference Table'!$A$2:$A$32,0)),""))</f>
        <v>60</v>
      </c>
      <c r="F263">
        <f>IF('Raw Data'!F263&lt;&gt;"",'Raw Data'!F263,IFERROR(ROUND('Raw Data'!G263/E263,0),""))</f>
        <v>6</v>
      </c>
      <c r="G263">
        <f>IF('Raw Data'!G263&lt;&gt;"",'Raw Data'!G263,IFERROR(ROUND(E263*F263,2),""))</f>
        <v>360</v>
      </c>
      <c r="H263" t="str">
        <f>'Raw Data'!H263</f>
        <v>Mobile Payment</v>
      </c>
      <c r="I263" t="str">
        <f>IF('Raw Data'!D263="",IF(D263="Unknown","Could not recover","Filled from Price lookup"),IF(TRIM('Raw Data'!D263)&lt;&gt;'Raw Data'!D263,"Trimmed whitespace","OK"))</f>
        <v>OK</v>
      </c>
      <c r="J263" t="str">
        <f t="shared" si="4"/>
        <v>OK</v>
      </c>
    </row>
    <row r="264" spans="1:10">
      <c r="A264" t="str">
        <f>'Raw Data'!A264</f>
        <v>TXN_1177</v>
      </c>
      <c r="B264" s="1">
        <f>'Raw Data'!B264</f>
        <v>45869</v>
      </c>
      <c r="C264" t="str">
        <f>IFERROR(INDEX('Reference Table'!$C$2:$C$46,MATCH(D264,'Reference Table'!$A$2:$A$46,0)),"Unknown")</f>
        <v>Furniture</v>
      </c>
      <c r="D264" t="str">
        <f t="array" ref="D264">IF(TRIM('Raw Data'!D264)&lt;&gt;"",TRIM('Raw Data'!D264),IFERROR(INDEX('Reference Table'!$A$2:$A$46,MATCH(VALUE('Raw Data'!E264),VALUE('Reference Table'!$B$2:$B$46),0)),"Unknown"))</f>
        <v>Furn_Shelf</v>
      </c>
      <c r="E264">
        <f>IF('Raw Data'!E264&lt;&gt;"",'Raw Data'!E264,IFERROR(INDEX('Reference Table'!$B$2:$B$32,MATCH(D264,'Reference Table'!$A$2:$A$32,0)),""))</f>
        <v>1800</v>
      </c>
      <c r="F264">
        <f>IF('Raw Data'!F264&lt;&gt;"",'Raw Data'!F264,IFERROR(ROUND('Raw Data'!G264/E264,0),""))</f>
        <v>6</v>
      </c>
      <c r="G264">
        <f>IF('Raw Data'!G264&lt;&gt;"",'Raw Data'!G264,IFERROR(ROUND(E264*F264,2),""))</f>
        <v>10800</v>
      </c>
      <c r="H264" t="str">
        <f>'Raw Data'!H264</f>
        <v>Debit Card</v>
      </c>
      <c r="I264" t="str">
        <f>IF('Raw Data'!D264="",IF(D264="Unknown","Could not recover","Filled from Price lookup"),IF(TRIM('Raw Data'!D264)&lt;&gt;'Raw Data'!D264,"Trimmed whitespace","OK"))</f>
        <v>Trimmed whitespace</v>
      </c>
      <c r="J264" t="str">
        <f t="shared" si="4"/>
        <v>OK</v>
      </c>
    </row>
    <row r="265" spans="1:10">
      <c r="A265" t="str">
        <f>'Raw Data'!A265</f>
        <v>TXN_1370</v>
      </c>
      <c r="B265" s="1">
        <f>'Raw Data'!B265</f>
        <v>45769</v>
      </c>
      <c r="C265" t="str">
        <f>IFERROR(INDEX('Reference Table'!$C$2:$C$46,MATCH(D265,'Reference Table'!$A$2:$A$46,0)),"Unknown")</f>
        <v>Butchers</v>
      </c>
      <c r="D265" t="str">
        <f t="array" ref="D265">IF(TRIM('Raw Data'!D265)&lt;&gt;"",TRIM('Raw Data'!D265),IFERROR(INDEX('Reference Table'!$A$2:$A$46,MATCH(VALUE('Raw Data'!E265),VALUE('Reference Table'!$B$2:$B$46),0)),"Unknown"))</f>
        <v>Meat_Fish_1kg</v>
      </c>
      <c r="E265">
        <f>IF('Raw Data'!E265&lt;&gt;"",'Raw Data'!E265,IFERROR(INDEX('Reference Table'!$B$2:$B$32,MATCH(D265,'Reference Table'!$A$2:$A$32,0)),""))</f>
        <v>380</v>
      </c>
      <c r="F265">
        <f>IF('Raw Data'!F265&lt;&gt;"",'Raw Data'!F265,IFERROR(ROUND('Raw Data'!G265/E265,0),""))</f>
        <v>5</v>
      </c>
      <c r="G265">
        <f>IF('Raw Data'!G265&lt;&gt;"",'Raw Data'!G265,IFERROR(ROUND(E265*F265,2),""))</f>
        <v>1900</v>
      </c>
      <c r="H265" t="str">
        <f>'Raw Data'!H265</f>
        <v>Debit Card</v>
      </c>
      <c r="I265" t="str">
        <f>IF('Raw Data'!D265="",IF(D265="Unknown","Could not recover","Filled from Price lookup"),IF(TRIM('Raw Data'!D265)&lt;&gt;'Raw Data'!D265,"Trimmed whitespace","OK"))</f>
        <v>OK</v>
      </c>
      <c r="J265" t="str">
        <f t="shared" si="4"/>
        <v>OK</v>
      </c>
    </row>
    <row r="266" spans="1:10">
      <c r="A266" t="str">
        <f>'Raw Data'!A266</f>
        <v>TXN_1596</v>
      </c>
      <c r="B266" s="1">
        <f>'Raw Data'!B266</f>
        <v>45702</v>
      </c>
      <c r="C266" t="str">
        <f>IFERROR(INDEX('Reference Table'!$C$2:$C$46,MATCH(D266,'Reference Table'!$A$2:$A$46,0)),"Unknown")</f>
        <v>Electric Accessories</v>
      </c>
      <c r="D266" t="str">
        <f t="array" ref="D266">IF(TRIM('Raw Data'!D266)&lt;&gt;"",TRIM('Raw Data'!D266),IFERROR(INDEX('Reference Table'!$A$2:$A$46,MATCH(VALUE('Raw Data'!E266),VALUE('Reference Table'!$B$2:$B$46),0)),"Unknown"))</f>
        <v>Elec_Powerbank</v>
      </c>
      <c r="E266">
        <f>IF('Raw Data'!E266&lt;&gt;"",'Raw Data'!E266,IFERROR(INDEX('Reference Table'!$B$2:$B$32,MATCH(D266,'Reference Table'!$A$2:$A$32,0)),""))</f>
        <v>900</v>
      </c>
      <c r="F266">
        <f>IF('Raw Data'!F266&lt;&gt;"",'Raw Data'!F266,IFERROR(ROUND('Raw Data'!G266/E266,0),""))</f>
        <v>5</v>
      </c>
      <c r="G266">
        <f>IF('Raw Data'!G266&lt;&gt;"",'Raw Data'!G266,IFERROR(ROUND(E266*F266,2),""))</f>
        <v>4500</v>
      </c>
      <c r="H266" t="str">
        <f>'Raw Data'!H266</f>
        <v>Debit Card</v>
      </c>
      <c r="I266" t="str">
        <f>IF('Raw Data'!D266="",IF(D266="Unknown","Could not recover","Filled from Price lookup"),IF(TRIM('Raw Data'!D266)&lt;&gt;'Raw Data'!D266,"Trimmed whitespace","OK"))</f>
        <v>OK</v>
      </c>
      <c r="J266" t="str">
        <f t="shared" si="4"/>
        <v>OK</v>
      </c>
    </row>
    <row r="267" spans="1:10">
      <c r="A267" t="str">
        <f>'Raw Data'!A267</f>
        <v>TXN_1015</v>
      </c>
      <c r="B267" s="1">
        <f>'Raw Data'!B267</f>
        <v>45844</v>
      </c>
      <c r="C267" t="str">
        <f>IFERROR(INDEX('Reference Table'!$C$2:$C$46,MATCH(D267,'Reference Table'!$A$2:$A$46,0)),"Unknown")</f>
        <v>Milk Products</v>
      </c>
      <c r="D267" t="str">
        <f t="array" ref="D267">IF(TRIM('Raw Data'!D267)&lt;&gt;"",TRIM('Raw Data'!D267),IFERROR(INDEX('Reference Table'!$A$2:$A$46,MATCH(VALUE('Raw Data'!E267),VALUE('Reference Table'!$B$2:$B$46),0)),"Unknown"))</f>
        <v>Milk_Cheese_200g</v>
      </c>
      <c r="E267">
        <f>IF('Raw Data'!E267&lt;&gt;"",'Raw Data'!E267,IFERROR(INDEX('Reference Table'!$B$2:$B$32,MATCH(D267,'Reference Table'!$A$2:$A$32,0)),""))</f>
        <v>110</v>
      </c>
      <c r="F267">
        <f>IF('Raw Data'!F267&lt;&gt;"",'Raw Data'!F267,IFERROR(ROUND('Raw Data'!G267/E267,0),""))</f>
        <v>5</v>
      </c>
      <c r="G267">
        <f>IF('Raw Data'!G267&lt;&gt;"",'Raw Data'!G267,IFERROR(ROUND(E267*F267,2),""))</f>
        <v>550</v>
      </c>
      <c r="H267" t="str">
        <f>'Raw Data'!H267</f>
        <v>Credit Card</v>
      </c>
      <c r="I267" t="str">
        <f>IF('Raw Data'!D267="",IF(D267="Unknown","Could not recover","Filled from Price lookup"),IF(TRIM('Raw Data'!D267)&lt;&gt;'Raw Data'!D267,"Trimmed whitespace","OK"))</f>
        <v>OK</v>
      </c>
      <c r="J267" t="str">
        <f t="shared" si="4"/>
        <v>OK</v>
      </c>
    </row>
    <row r="268" spans="1:10">
      <c r="A268" t="str">
        <f>'Raw Data'!A268</f>
        <v>TXN_1537</v>
      </c>
      <c r="B268" s="1">
        <f>'Raw Data'!B268</f>
        <v>45727</v>
      </c>
      <c r="C268" t="str">
        <f>IFERROR(INDEX('Reference Table'!$C$2:$C$46,MATCH(D268,'Reference Table'!$A$2:$A$46,0)),"Unknown")</f>
        <v>Furniture</v>
      </c>
      <c r="D268" t="str">
        <f t="array" ref="D268">IF(TRIM('Raw Data'!D268)&lt;&gt;"",TRIM('Raw Data'!D268),IFERROR(INDEX('Reference Table'!$A$2:$A$46,MATCH(VALUE('Raw Data'!E268),VALUE('Reference Table'!$B$2:$B$46),0)),"Unknown"))</f>
        <v>Furn_Small_Table</v>
      </c>
      <c r="E268">
        <f>IF('Raw Data'!E268&lt;&gt;"",'Raw Data'!E268,IFERROR(INDEX('Reference Table'!$B$2:$B$32,MATCH(D268,'Reference Table'!$A$2:$A$32,0)),""))</f>
        <v>3200</v>
      </c>
      <c r="F268">
        <f>IF('Raw Data'!F268&lt;&gt;"",'Raw Data'!F268,IFERROR(ROUND('Raw Data'!G268/E268,0),""))</f>
        <v>4</v>
      </c>
      <c r="G268">
        <f>IF('Raw Data'!G268&lt;&gt;"",'Raw Data'!G268,IFERROR(ROUND(E268*F268,2),""))</f>
        <v>12800</v>
      </c>
      <c r="H268" t="str">
        <f>'Raw Data'!H268</f>
        <v>Cash</v>
      </c>
      <c r="I268" t="str">
        <f>IF('Raw Data'!D268="",IF(D268="Unknown","Could not recover","Filled from Price lookup"),IF(TRIM('Raw Data'!D268)&lt;&gt;'Raw Data'!D268,"Trimmed whitespace","OK"))</f>
        <v>OK</v>
      </c>
      <c r="J268" t="str">
        <f t="shared" si="4"/>
        <v>OK</v>
      </c>
    </row>
    <row r="269" spans="1:10">
      <c r="A269" t="str">
        <f>'Raw Data'!A269</f>
        <v>TXN_1516</v>
      </c>
      <c r="B269" s="1">
        <f>'Raw Data'!B269</f>
        <v>45799</v>
      </c>
      <c r="C269" t="str">
        <f>IFERROR(INDEX('Reference Table'!$C$2:$C$46,MATCH(D269,'Reference Table'!$A$2:$A$46,0)),"Unknown")</f>
        <v>Beverages</v>
      </c>
      <c r="D269" t="str">
        <f t="array" ref="D269">IF(TRIM('Raw Data'!D269)&lt;&gt;"",TRIM('Raw Data'!D269),IFERROR(INDEX('Reference Table'!$A$2:$A$46,MATCH(VALUE('Raw Data'!E269),VALUE('Reference Table'!$B$2:$B$46),0)),"Unknown"))</f>
        <v>Bev_Juice_500ml</v>
      </c>
      <c r="E269">
        <f>IF('Raw Data'!E269&lt;&gt;"",'Raw Data'!E269,IFERROR(INDEX('Reference Table'!$B$2:$B$32,MATCH(D269,'Reference Table'!$A$2:$A$32,0)),""))</f>
        <v>45</v>
      </c>
      <c r="F269">
        <f>IF('Raw Data'!F269&lt;&gt;"",'Raw Data'!F269,IFERROR(ROUND('Raw Data'!G269/E269,0),""))</f>
        <v>3</v>
      </c>
      <c r="G269">
        <f>IF('Raw Data'!G269&lt;&gt;"",'Raw Data'!G269,IFERROR(ROUND(E269*F269,2),""))</f>
        <v>135</v>
      </c>
      <c r="H269" t="str">
        <f>'Raw Data'!H269</f>
        <v>Mobile Payment</v>
      </c>
      <c r="I269" t="str">
        <f>IF('Raw Data'!D269="",IF(D269="Unknown","Could not recover","Filled from Price lookup"),IF(TRIM('Raw Data'!D269)&lt;&gt;'Raw Data'!D269,"Trimmed whitespace","OK"))</f>
        <v>OK</v>
      </c>
      <c r="J269" t="str">
        <f t="shared" si="4"/>
        <v>OK</v>
      </c>
    </row>
    <row r="270" spans="1:10">
      <c r="A270" t="str">
        <f>'Raw Data'!A270</f>
        <v>TXN_1064</v>
      </c>
      <c r="B270" s="1">
        <f>'Raw Data'!B270</f>
        <v>45775</v>
      </c>
      <c r="C270" t="str">
        <f>IFERROR(INDEX('Reference Table'!$C$2:$C$46,MATCH(D270,'Reference Table'!$A$2:$A$46,0)),"Unknown")</f>
        <v>Patisserie</v>
      </c>
      <c r="D270" t="str">
        <f t="array" ref="D270">IF(TRIM('Raw Data'!D270)&lt;&gt;"",TRIM('Raw Data'!D270),IFERROR(INDEX('Reference Table'!$A$2:$A$46,MATCH(VALUE('Raw Data'!E270),VALUE('Reference Table'!$B$2:$B$46),0)),"Unknown"))</f>
        <v>Pat_Cake_Slice</v>
      </c>
      <c r="E270">
        <f>IF('Raw Data'!E270&lt;&gt;"",'Raw Data'!E270,IFERROR(INDEX('Reference Table'!$B$2:$B$32,MATCH(D270,'Reference Table'!$A$2:$A$32,0)),""))</f>
        <v>90</v>
      </c>
      <c r="F270">
        <f>IF('Raw Data'!F270&lt;&gt;"",'Raw Data'!F270,IFERROR(ROUND('Raw Data'!G270/E270,0),""))</f>
        <v>1</v>
      </c>
      <c r="G270">
        <f>IF('Raw Data'!G270&lt;&gt;"",'Raw Data'!G270,IFERROR(ROUND(E270*F270,2),""))</f>
        <v>90</v>
      </c>
      <c r="H270" t="str">
        <f>'Raw Data'!H270</f>
        <v>Cash</v>
      </c>
      <c r="I270" t="str">
        <f>IF('Raw Data'!D270="",IF(D270="Unknown","Could not recover","Filled from Price lookup"),IF(TRIM('Raw Data'!D270)&lt;&gt;'Raw Data'!D270,"Trimmed whitespace","OK"))</f>
        <v>Filled from Price lookup</v>
      </c>
      <c r="J270" t="str">
        <f t="shared" si="4"/>
        <v>OK</v>
      </c>
    </row>
    <row r="271" spans="1:10">
      <c r="A271" t="str">
        <f>'Raw Data'!A271</f>
        <v>TXN_1452</v>
      </c>
      <c r="B271" s="1">
        <f>'Raw Data'!B271</f>
        <v>45731</v>
      </c>
      <c r="C271" t="str">
        <f>IFERROR(INDEX('Reference Table'!$C$2:$C$46,MATCH(D271,'Reference Table'!$A$2:$A$46,0)),"Unknown")</f>
        <v>Patisserie</v>
      </c>
      <c r="D271" t="str">
        <f t="array" ref="D271">IF(TRIM('Raw Data'!D271)&lt;&gt;"",TRIM('Raw Data'!D271),IFERROR(INDEX('Reference Table'!$A$2:$A$46,MATCH(VALUE('Raw Data'!E271),VALUE('Reference Table'!$B$2:$B$46),0)),"Unknown"))</f>
        <v>Pat_Cake_Slice</v>
      </c>
      <c r="E271">
        <f>IF('Raw Data'!E271&lt;&gt;"",'Raw Data'!E271,IFERROR(INDEX('Reference Table'!$B$2:$B$32,MATCH(D271,'Reference Table'!$A$2:$A$32,0)),""))</f>
        <v>90</v>
      </c>
      <c r="F271">
        <f>IF('Raw Data'!F271&lt;&gt;"",'Raw Data'!F271,IFERROR(ROUND('Raw Data'!G271/E271,0),""))</f>
        <v>3</v>
      </c>
      <c r="G271">
        <f>IF('Raw Data'!G271&lt;&gt;"",'Raw Data'!G271,IFERROR(ROUND(E271*F271,2),""))</f>
        <v>270</v>
      </c>
      <c r="H271" t="str">
        <f>'Raw Data'!H271</f>
        <v>Cash</v>
      </c>
      <c r="I271" t="str">
        <f>IF('Raw Data'!D271="",IF(D271="Unknown","Could not recover","Filled from Price lookup"),IF(TRIM('Raw Data'!D271)&lt;&gt;'Raw Data'!D271,"Trimmed whitespace","OK"))</f>
        <v>OK</v>
      </c>
      <c r="J271" t="str">
        <f t="shared" si="4"/>
        <v>OK</v>
      </c>
    </row>
    <row r="272" spans="1:10">
      <c r="A272" t="str">
        <f>'Raw Data'!A272</f>
        <v>TXN_1085</v>
      </c>
      <c r="B272" s="1">
        <f>'Raw Data'!B272</f>
        <v>45664</v>
      </c>
      <c r="C272" t="str">
        <f>IFERROR(INDEX('Reference Table'!$C$2:$C$46,MATCH(D272,'Reference Table'!$A$2:$A$46,0)),"Unknown")</f>
        <v>Milk Products</v>
      </c>
      <c r="D272" t="str">
        <f t="array" ref="D272">IF(TRIM('Raw Data'!D272)&lt;&gt;"",TRIM('Raw Data'!D272),IFERROR(INDEX('Reference Table'!$A$2:$A$46,MATCH(VALUE('Raw Data'!E272),VALUE('Reference Table'!$B$2:$B$46),0)),"Unknown"))</f>
        <v>Milk_Ghee_500ml</v>
      </c>
      <c r="E272">
        <f>IF('Raw Data'!E272&lt;&gt;"",'Raw Data'!E272,IFERROR(INDEX('Reference Table'!$B$2:$B$32,MATCH(D272,'Reference Table'!$A$2:$A$32,0)),""))</f>
        <v>350</v>
      </c>
      <c r="F272">
        <f>IF('Raw Data'!F272&lt;&gt;"",'Raw Data'!F272,IFERROR(ROUND('Raw Data'!G272/E272,0),""))</f>
        <v>2</v>
      </c>
      <c r="G272">
        <f>IF('Raw Data'!G272&lt;&gt;"",'Raw Data'!G272,IFERROR(ROUND(E272*F272,2),""))</f>
        <v>700</v>
      </c>
      <c r="H272" t="str">
        <f>'Raw Data'!H272</f>
        <v>Credit Card</v>
      </c>
      <c r="I272" t="str">
        <f>IF('Raw Data'!D272="",IF(D272="Unknown","Could not recover","Filled from Price lookup"),IF(TRIM('Raw Data'!D272)&lt;&gt;'Raw Data'!D272,"Trimmed whitespace","OK"))</f>
        <v>OK</v>
      </c>
      <c r="J272" t="str">
        <f t="shared" si="4"/>
        <v>OK</v>
      </c>
    </row>
    <row r="273" spans="1:10">
      <c r="A273" t="str">
        <f>'Raw Data'!A273</f>
        <v>TXN_1132</v>
      </c>
      <c r="B273" s="1">
        <f>'Raw Data'!B273</f>
        <v>45713</v>
      </c>
      <c r="C273" t="str">
        <f>IFERROR(INDEX('Reference Table'!$C$2:$C$46,MATCH(D273,'Reference Table'!$A$2:$A$46,0)),"Unknown")</f>
        <v>Food</v>
      </c>
      <c r="D273" t="str">
        <f t="array" ref="D273">IF(TRIM('Raw Data'!D273)&lt;&gt;"",TRIM('Raw Data'!D273),IFERROR(INDEX('Reference Table'!$A$2:$A$46,MATCH(VALUE('Raw Data'!E273),VALUE('Reference Table'!$B$2:$B$46),0)),"Unknown"))</f>
        <v>Food_Pasta_500g</v>
      </c>
      <c r="E273">
        <f>IF('Raw Data'!E273&lt;&gt;"",'Raw Data'!E273,IFERROR(INDEX('Reference Table'!$B$2:$B$32,MATCH(D273,'Reference Table'!$A$2:$A$32,0)),""))</f>
        <v>65</v>
      </c>
      <c r="F273">
        <f>IF('Raw Data'!F273&lt;&gt;"",'Raw Data'!F273,IFERROR(ROUND('Raw Data'!G273/E273,0),""))</f>
        <v>5</v>
      </c>
      <c r="G273">
        <f>IF('Raw Data'!G273&lt;&gt;"",'Raw Data'!G273,IFERROR(ROUND(E273*F273,2),""))</f>
        <v>325</v>
      </c>
      <c r="H273" t="str">
        <f>'Raw Data'!H273</f>
        <v>Mobile Payment</v>
      </c>
      <c r="I273" t="str">
        <f>IF('Raw Data'!D273="",IF(D273="Unknown","Could not recover","Filled from Price lookup"),IF(TRIM('Raw Data'!D273)&lt;&gt;'Raw Data'!D273,"Trimmed whitespace","OK"))</f>
        <v>OK</v>
      </c>
      <c r="J273" t="str">
        <f t="shared" si="4"/>
        <v>OK</v>
      </c>
    </row>
    <row r="274" spans="1:10">
      <c r="A274" t="str">
        <f>'Raw Data'!A274</f>
        <v>TXN_1264</v>
      </c>
      <c r="B274" s="1">
        <f>'Raw Data'!B274</f>
        <v>45820</v>
      </c>
      <c r="C274" t="str">
        <f>IFERROR(INDEX('Reference Table'!$C$2:$C$46,MATCH(D274,'Reference Table'!$A$2:$A$46,0)),"Unknown")</f>
        <v>Patisserie</v>
      </c>
      <c r="D274" t="str">
        <f t="array" ref="D274">IF(TRIM('Raw Data'!D274)&lt;&gt;"",TRIM('Raw Data'!D274),IFERROR(INDEX('Reference Table'!$A$2:$A$46,MATCH(VALUE('Raw Data'!E274),VALUE('Reference Table'!$B$2:$B$46),0)),"Unknown"))</f>
        <v>Pat_Donut</v>
      </c>
      <c r="E274">
        <f>IF('Raw Data'!E274&lt;&gt;"",'Raw Data'!E274,IFERROR(INDEX('Reference Table'!$B$2:$B$32,MATCH(D274,'Reference Table'!$A$2:$A$32,0)),""))</f>
        <v>30</v>
      </c>
      <c r="F274">
        <f>IF('Raw Data'!F274&lt;&gt;"",'Raw Data'!F274,IFERROR(ROUND('Raw Data'!G274/E274,0),""))</f>
        <v>5</v>
      </c>
      <c r="G274">
        <f>IF('Raw Data'!G274&lt;&gt;"",'Raw Data'!G274,IFERROR(ROUND(E274*F274,2),""))</f>
        <v>150</v>
      </c>
      <c r="H274" t="str">
        <f>'Raw Data'!H274</f>
        <v>Debit Card</v>
      </c>
      <c r="I274" t="str">
        <f>IF('Raw Data'!D274="",IF(D274="Unknown","Could not recover","Filled from Price lookup"),IF(TRIM('Raw Data'!D274)&lt;&gt;'Raw Data'!D274,"Trimmed whitespace","OK"))</f>
        <v>OK</v>
      </c>
      <c r="J274" t="str">
        <f t="shared" si="4"/>
        <v>OK</v>
      </c>
    </row>
    <row r="275" spans="1:10">
      <c r="A275" t="str">
        <f>'Raw Data'!A275</f>
        <v>TXN_1267</v>
      </c>
      <c r="B275" s="1">
        <f>'Raw Data'!B275</f>
        <v>45879</v>
      </c>
      <c r="C275" t="str">
        <f>IFERROR(INDEX('Reference Table'!$C$2:$C$46,MATCH(D275,'Reference Table'!$A$2:$A$46,0)),"Unknown")</f>
        <v>Furniture</v>
      </c>
      <c r="D275" t="str">
        <f t="array" ref="D275">IF(TRIM('Raw Data'!D275)&lt;&gt;"",TRIM('Raw Data'!D275),IFERROR(INDEX('Reference Table'!$A$2:$A$46,MATCH(VALUE('Raw Data'!E275),VALUE('Reference Table'!$B$2:$B$46),0)),"Unknown"))</f>
        <v>Furn_Chair</v>
      </c>
      <c r="E275">
        <f>IF('Raw Data'!E275&lt;&gt;"",'Raw Data'!E275,IFERROR(INDEX('Reference Table'!$B$2:$B$32,MATCH(D275,'Reference Table'!$A$2:$A$32,0)),""))</f>
        <v>2500</v>
      </c>
      <c r="F275">
        <f>IF('Raw Data'!F275&lt;&gt;"",'Raw Data'!F275,IFERROR(ROUND('Raw Data'!G275/E275,0),""))</f>
        <v>6</v>
      </c>
      <c r="G275">
        <f>IF('Raw Data'!G275&lt;&gt;"",'Raw Data'!G275,IFERROR(ROUND(E275*F275,2),""))</f>
        <v>15000</v>
      </c>
      <c r="H275" t="str">
        <f>'Raw Data'!H275</f>
        <v>Credit Card</v>
      </c>
      <c r="I275" t="str">
        <f>IF('Raw Data'!D275="",IF(D275="Unknown","Could not recover","Filled from Price lookup"),IF(TRIM('Raw Data'!D275)&lt;&gt;'Raw Data'!D275,"Trimmed whitespace","OK"))</f>
        <v>Trimmed whitespace</v>
      </c>
      <c r="J275" t="str">
        <f t="shared" si="4"/>
        <v>OK</v>
      </c>
    </row>
    <row r="276" spans="1:10">
      <c r="A276" t="str">
        <f>'Raw Data'!A276</f>
        <v>TXN_1177</v>
      </c>
      <c r="B276" s="1">
        <f>'Raw Data'!B276</f>
        <v>45869</v>
      </c>
      <c r="C276" t="str">
        <f>IFERROR(INDEX('Reference Table'!$C$2:$C$46,MATCH(D276,'Reference Table'!$A$2:$A$46,0)),"Unknown")</f>
        <v>Furniture</v>
      </c>
      <c r="D276" t="str">
        <f t="array" ref="D276">IF(TRIM('Raw Data'!D276)&lt;&gt;"",TRIM('Raw Data'!D276),IFERROR(INDEX('Reference Table'!$A$2:$A$46,MATCH(VALUE('Raw Data'!E276),VALUE('Reference Table'!$B$2:$B$46),0)),"Unknown"))</f>
        <v>Furn_Shelf</v>
      </c>
      <c r="E276">
        <f>IF('Raw Data'!E276&lt;&gt;"",'Raw Data'!E276,IFERROR(INDEX('Reference Table'!$B$2:$B$32,MATCH(D276,'Reference Table'!$A$2:$A$32,0)),""))</f>
        <v>1800</v>
      </c>
      <c r="F276">
        <f>IF('Raw Data'!F276&lt;&gt;"",'Raw Data'!F276,IFERROR(ROUND('Raw Data'!G276/E276,0),""))</f>
        <v>6</v>
      </c>
      <c r="G276">
        <f>IF('Raw Data'!G276&lt;&gt;"",'Raw Data'!G276,IFERROR(ROUND(E276*F276,2),""))</f>
        <v>10800</v>
      </c>
      <c r="H276" t="str">
        <f>'Raw Data'!H276</f>
        <v>Debit Card</v>
      </c>
      <c r="I276" t="str">
        <f>IF('Raw Data'!D276="",IF(D276="Unknown","Could not recover","Filled from Price lookup"),IF(TRIM('Raw Data'!D276)&lt;&gt;'Raw Data'!D276,"Trimmed whitespace","OK"))</f>
        <v>Trimmed whitespace</v>
      </c>
      <c r="J276" t="str">
        <f t="shared" si="4"/>
        <v>OK</v>
      </c>
    </row>
    <row r="277" spans="1:10">
      <c r="A277" t="str">
        <f>'Raw Data'!A277</f>
        <v>TXN_1254</v>
      </c>
      <c r="B277" s="1">
        <f>'Raw Data'!B277</f>
        <v>45862</v>
      </c>
      <c r="C277" t="str">
        <f>IFERROR(INDEX('Reference Table'!$C$2:$C$46,MATCH(D277,'Reference Table'!$A$2:$A$46,0)),"Unknown")</f>
        <v>Computers</v>
      </c>
      <c r="D277" t="str">
        <f t="array" ref="D277">IF(TRIM('Raw Data'!D277)&lt;&gt;"",TRIM('Raw Data'!D277),IFERROR(INDEX('Reference Table'!$A$2:$A$46,MATCH(VALUE('Raw Data'!E277),VALUE('Reference Table'!$B$2:$B$46),0)),"Unknown"))</f>
        <v>Comp_Webcam</v>
      </c>
      <c r="E277">
        <f>IF('Raw Data'!E277&lt;&gt;"",'Raw Data'!E277,IFERROR(INDEX('Reference Table'!$B$2:$B$32,MATCH(D277,'Reference Table'!$A$2:$A$32,0)),""))</f>
        <v>1200</v>
      </c>
      <c r="F277">
        <f>IF('Raw Data'!F277&lt;&gt;"",'Raw Data'!F277,IFERROR(ROUND('Raw Data'!G277/E277,0),""))</f>
        <v>3</v>
      </c>
      <c r="G277">
        <f>IF('Raw Data'!G277&lt;&gt;"",'Raw Data'!G277,IFERROR(ROUND(E277*F277,2),""))</f>
        <v>3600</v>
      </c>
      <c r="H277" t="str">
        <f>'Raw Data'!H277</f>
        <v>Credit Card</v>
      </c>
      <c r="I277" t="str">
        <f>IF('Raw Data'!D277="",IF(D277="Unknown","Could not recover","Filled from Price lookup"),IF(TRIM('Raw Data'!D277)&lt;&gt;'Raw Data'!D277,"Trimmed whitespace","OK"))</f>
        <v>Filled from Price lookup</v>
      </c>
      <c r="J277" t="str">
        <f t="shared" si="4"/>
        <v>OK</v>
      </c>
    </row>
    <row r="278" spans="1:10">
      <c r="A278" t="str">
        <f>'Raw Data'!A278</f>
        <v>TXN_1083</v>
      </c>
      <c r="B278" s="1">
        <f>'Raw Data'!B278</f>
        <v>45881</v>
      </c>
      <c r="C278" t="str">
        <f>IFERROR(INDEX('Reference Table'!$C$2:$C$46,MATCH(D278,'Reference Table'!$A$2:$A$46,0)),"Unknown")</f>
        <v>Food</v>
      </c>
      <c r="D278" t="str">
        <f t="array" ref="D278">IF(TRIM('Raw Data'!D278)&lt;&gt;"",TRIM('Raw Data'!D278),IFERROR(INDEX('Reference Table'!$A$2:$A$46,MATCH(VALUE('Raw Data'!E278),VALUE('Reference Table'!$B$2:$B$46),0)),"Unknown"))</f>
        <v>Food_Wheat_1kg</v>
      </c>
      <c r="E278">
        <f>IF('Raw Data'!E278&lt;&gt;"",'Raw Data'!E278,IFERROR(INDEX('Reference Table'!$B$2:$B$32,MATCH(D278,'Reference Table'!$A$2:$A$32,0)),""))</f>
        <v>55</v>
      </c>
      <c r="F278">
        <f>IF('Raw Data'!F278&lt;&gt;"",'Raw Data'!F278,IFERROR(ROUND('Raw Data'!G278/E278,0),""))</f>
        <v>4</v>
      </c>
      <c r="G278">
        <f>IF('Raw Data'!G278&lt;&gt;"",'Raw Data'!G278,IFERROR(ROUND(E278*F278,2),""))</f>
        <v>220</v>
      </c>
      <c r="H278" t="str">
        <f>'Raw Data'!H278</f>
        <v>Cash</v>
      </c>
      <c r="I278" t="str">
        <f>IF('Raw Data'!D278="",IF(D278="Unknown","Could not recover","Filled from Price lookup"),IF(TRIM('Raw Data'!D278)&lt;&gt;'Raw Data'!D278,"Trimmed whitespace","OK"))</f>
        <v>OK</v>
      </c>
      <c r="J278" t="str">
        <f t="shared" si="4"/>
        <v>OK</v>
      </c>
    </row>
    <row r="279" spans="1:10">
      <c r="A279" t="str">
        <f>'Raw Data'!A279</f>
        <v>TXN_1005</v>
      </c>
      <c r="B279" s="1">
        <f>'Raw Data'!B279</f>
        <v>45836</v>
      </c>
      <c r="C279" t="str">
        <f>IFERROR(INDEX('Reference Table'!$C$2:$C$46,MATCH(D279,'Reference Table'!$A$2:$A$46,0)),"Unknown")</f>
        <v>Beverages</v>
      </c>
      <c r="D279" t="str">
        <f t="array" ref="D279">IF(TRIM('Raw Data'!D279)&lt;&gt;"",TRIM('Raw Data'!D279),IFERROR(INDEX('Reference Table'!$A$2:$A$46,MATCH(VALUE('Raw Data'!E279),VALUE('Reference Table'!$B$2:$B$46),0)),"Unknown"))</f>
        <v>Bev_Cola_1L</v>
      </c>
      <c r="E279">
        <f>IF('Raw Data'!E279&lt;&gt;"",'Raw Data'!E279,IFERROR(INDEX('Reference Table'!$B$2:$B$32,MATCH(D279,'Reference Table'!$A$2:$A$32,0)),""))</f>
        <v>60</v>
      </c>
      <c r="F279">
        <f>IF('Raw Data'!F279&lt;&gt;"",'Raw Data'!F279,IFERROR(ROUND('Raw Data'!G279/E279,0),""))</f>
        <v>2</v>
      </c>
      <c r="G279">
        <f>IF('Raw Data'!G279&lt;&gt;"",'Raw Data'!G279,IFERROR(ROUND(E279*F279,2),""))</f>
        <v>180</v>
      </c>
      <c r="H279" t="str">
        <f>'Raw Data'!H279</f>
        <v>Mobile Payment</v>
      </c>
      <c r="I279" t="str">
        <f>IF('Raw Data'!D279="",IF(D279="Unknown","Could not recover","Filled from Price lookup"),IF(TRIM('Raw Data'!D279)&lt;&gt;'Raw Data'!D279,"Trimmed whitespace","OK"))</f>
        <v>OK</v>
      </c>
      <c r="J279" t="str">
        <f t="shared" si="4"/>
        <v>Mismatch</v>
      </c>
    </row>
    <row r="280" spans="1:10">
      <c r="A280" t="str">
        <f>'Raw Data'!A280</f>
        <v>TXN_1405</v>
      </c>
      <c r="B280" s="1">
        <f>'Raw Data'!B280</f>
        <v>45694</v>
      </c>
      <c r="C280" t="str">
        <f>IFERROR(INDEX('Reference Table'!$C$2:$C$46,MATCH(D280,'Reference Table'!$A$2:$A$46,0)),"Unknown")</f>
        <v>Butchers</v>
      </c>
      <c r="D280" t="str">
        <f t="array" ref="D280">IF(TRIM('Raw Data'!D280)&lt;&gt;"",TRIM('Raw Data'!D280),IFERROR(INDEX('Reference Table'!$A$2:$A$46,MATCH(VALUE('Raw Data'!E280),VALUE('Reference Table'!$B$2:$B$46),0)),"Unknown"))</f>
        <v>Meat_Mutton_1kg</v>
      </c>
      <c r="E280">
        <f>IF('Raw Data'!E280&lt;&gt;"",'Raw Data'!E280,IFERROR(INDEX('Reference Table'!$B$2:$B$32,MATCH(D280,'Reference Table'!$A$2:$A$32,0)),""))</f>
        <v>650</v>
      </c>
      <c r="F280">
        <f>IF('Raw Data'!F280&lt;&gt;"",'Raw Data'!F280,IFERROR(ROUND('Raw Data'!G280/E280,0),""))</f>
        <v>5</v>
      </c>
      <c r="G280">
        <f>IF('Raw Data'!G280&lt;&gt;"",'Raw Data'!G280,IFERROR(ROUND(E280*F280,2),""))</f>
        <v>3250</v>
      </c>
      <c r="H280" t="str">
        <f>'Raw Data'!H280</f>
        <v>Debit Card</v>
      </c>
      <c r="I280" t="str">
        <f>IF('Raw Data'!D280="",IF(D280="Unknown","Could not recover","Filled from Price lookup"),IF(TRIM('Raw Data'!D280)&lt;&gt;'Raw Data'!D280,"Trimmed whitespace","OK"))</f>
        <v>OK</v>
      </c>
      <c r="J280" t="str">
        <f t="shared" si="4"/>
        <v>OK</v>
      </c>
    </row>
    <row r="281" spans="1:10">
      <c r="A281" t="str">
        <f>'Raw Data'!A281</f>
        <v>TXN_1334</v>
      </c>
      <c r="B281" s="1">
        <f>'Raw Data'!B281</f>
        <v>45799</v>
      </c>
      <c r="C281" t="str">
        <f>IFERROR(INDEX('Reference Table'!$C$2:$C$46,MATCH(D281,'Reference Table'!$A$2:$A$46,0)),"Unknown")</f>
        <v>Computers</v>
      </c>
      <c r="D281" t="str">
        <f t="array" ref="D281">IF(TRIM('Raw Data'!D281)&lt;&gt;"",TRIM('Raw Data'!D281),IFERROR(INDEX('Reference Table'!$A$2:$A$46,MATCH(VALUE('Raw Data'!E281),VALUE('Reference Table'!$B$2:$B$46),0)),"Unknown"))</f>
        <v>Comp_Mouse</v>
      </c>
      <c r="E281">
        <f>IF('Raw Data'!E281&lt;&gt;"",'Raw Data'!E281,IFERROR(INDEX('Reference Table'!$B$2:$B$32,MATCH(D281,'Reference Table'!$A$2:$A$32,0)),""))</f>
        <v>500</v>
      </c>
      <c r="F281">
        <f>IF('Raw Data'!F281&lt;&gt;"",'Raw Data'!F281,IFERROR(ROUND('Raw Data'!G281/E281,0),""))</f>
        <v>3</v>
      </c>
      <c r="G281">
        <f>IF('Raw Data'!G281&lt;&gt;"",'Raw Data'!G281,IFERROR(ROUND(E281*F281,2),""))</f>
        <v>1500</v>
      </c>
      <c r="H281" t="str">
        <f>'Raw Data'!H281</f>
        <v>Cash</v>
      </c>
      <c r="I281" t="str">
        <f>IF('Raw Data'!D281="",IF(D281="Unknown","Could not recover","Filled from Price lookup"),IF(TRIM('Raw Data'!D281)&lt;&gt;'Raw Data'!D281,"Trimmed whitespace","OK"))</f>
        <v>OK</v>
      </c>
      <c r="J281" t="str">
        <f t="shared" si="4"/>
        <v>OK</v>
      </c>
    </row>
    <row r="282" spans="1:10">
      <c r="A282" t="str">
        <f>'Raw Data'!A282</f>
        <v>TXN_1420</v>
      </c>
      <c r="B282" s="1">
        <f>'Raw Data'!B282</f>
        <v>45832</v>
      </c>
      <c r="C282" t="str">
        <f>IFERROR(INDEX('Reference Table'!$C$2:$C$46,MATCH(D282,'Reference Table'!$A$2:$A$46,0)),"Unknown")</f>
        <v>Patisserie</v>
      </c>
      <c r="D282" t="str">
        <f t="array" ref="D282">IF(TRIM('Raw Data'!D282)&lt;&gt;"",TRIM('Raw Data'!D282),IFERROR(INDEX('Reference Table'!$A$2:$A$46,MATCH(VALUE('Raw Data'!E282),VALUE('Reference Table'!$B$2:$B$46),0)),"Unknown"))</f>
        <v>Pat_Donut</v>
      </c>
      <c r="E282">
        <f>IF('Raw Data'!E282&lt;&gt;"",'Raw Data'!E282,IFERROR(INDEX('Reference Table'!$B$2:$B$32,MATCH(D282,'Reference Table'!$A$2:$A$32,0)),""))</f>
        <v>30</v>
      </c>
      <c r="F282">
        <f>IF('Raw Data'!F282&lt;&gt;"",'Raw Data'!F282,IFERROR(ROUND('Raw Data'!G282/E282,0),""))</f>
        <v>5</v>
      </c>
      <c r="G282">
        <f>IF('Raw Data'!G282&lt;&gt;"",'Raw Data'!G282,IFERROR(ROUND(E282*F282,2),""))</f>
        <v>150</v>
      </c>
      <c r="H282" t="str">
        <f>'Raw Data'!H282</f>
        <v>Cash</v>
      </c>
      <c r="I282" t="str">
        <f>IF('Raw Data'!D282="",IF(D282="Unknown","Could not recover","Filled from Price lookup"),IF(TRIM('Raw Data'!D282)&lt;&gt;'Raw Data'!D282,"Trimmed whitespace","OK"))</f>
        <v>OK</v>
      </c>
      <c r="J282" t="str">
        <f t="shared" si="4"/>
        <v>OK</v>
      </c>
    </row>
    <row r="283" spans="1:10">
      <c r="A283" t="str">
        <f>'Raw Data'!A283</f>
        <v>TXN_1561</v>
      </c>
      <c r="B283" s="1">
        <f>'Raw Data'!B283</f>
        <v>45815</v>
      </c>
      <c r="C283" t="str">
        <f>IFERROR(INDEX('Reference Table'!$C$2:$C$46,MATCH(D283,'Reference Table'!$A$2:$A$46,0)),"Unknown")</f>
        <v>Computers</v>
      </c>
      <c r="D283" t="str">
        <f t="array" ref="D283">IF(TRIM('Raw Data'!D283)&lt;&gt;"",TRIM('Raw Data'!D283),IFERROR(INDEX('Reference Table'!$A$2:$A$46,MATCH(VALUE('Raw Data'!E283),VALUE('Reference Table'!$B$2:$B$46),0)),"Unknown"))</f>
        <v>Comp_Keyboard</v>
      </c>
      <c r="E283">
        <f>IF('Raw Data'!E283&lt;&gt;"",'Raw Data'!E283,IFERROR(INDEX('Reference Table'!$B$2:$B$32,MATCH(D283,'Reference Table'!$A$2:$A$32,0)),""))</f>
        <v>800</v>
      </c>
      <c r="F283">
        <f>IF('Raw Data'!F283&lt;&gt;"",'Raw Data'!F283,IFERROR(ROUND('Raw Data'!G283/E283,0),""))</f>
        <v>5</v>
      </c>
      <c r="G283">
        <f>IF('Raw Data'!G283&lt;&gt;"",'Raw Data'!G283,IFERROR(ROUND(E283*F283,2),""))</f>
        <v>4000</v>
      </c>
      <c r="H283" t="str">
        <f>'Raw Data'!H283</f>
        <v>Credit Card</v>
      </c>
      <c r="I283" t="str">
        <f>IF('Raw Data'!D283="",IF(D283="Unknown","Could not recover","Filled from Price lookup"),IF(TRIM('Raw Data'!D283)&lt;&gt;'Raw Data'!D283,"Trimmed whitespace","OK"))</f>
        <v>OK</v>
      </c>
      <c r="J283" t="str">
        <f t="shared" si="4"/>
        <v>OK</v>
      </c>
    </row>
    <row r="284" spans="1:10">
      <c r="A284" t="str">
        <f>'Raw Data'!A284</f>
        <v>TXN_1292</v>
      </c>
      <c r="B284" s="1">
        <f>'Raw Data'!B284</f>
        <v>45785</v>
      </c>
      <c r="C284" t="str">
        <f>IFERROR(INDEX('Reference Table'!$C$2:$C$46,MATCH(D284,'Reference Table'!$A$2:$A$46,0)),"Unknown")</f>
        <v>Food</v>
      </c>
      <c r="D284" t="str">
        <f t="array" ref="D284">IF(TRIM('Raw Data'!D284)&lt;&gt;"",TRIM('Raw Data'!D284),IFERROR(INDEX('Reference Table'!$A$2:$A$46,MATCH(VALUE('Raw Data'!E284),VALUE('Reference Table'!$B$2:$B$46),0)),"Unknown"))</f>
        <v>Food_Pasta_500g</v>
      </c>
      <c r="E284">
        <f>IF('Raw Data'!E284&lt;&gt;"",'Raw Data'!E284,IFERROR(INDEX('Reference Table'!$B$2:$B$32,MATCH(D284,'Reference Table'!$A$2:$A$32,0)),""))</f>
        <v>65</v>
      </c>
      <c r="F284">
        <f>IF('Raw Data'!F284&lt;&gt;"",'Raw Data'!F284,IFERROR(ROUND('Raw Data'!G284/E284,0),""))</f>
        <v>1</v>
      </c>
      <c r="G284">
        <f>IF('Raw Data'!G284&lt;&gt;"",'Raw Data'!G284,IFERROR(ROUND(E284*F284,2),""))</f>
        <v>65</v>
      </c>
      <c r="H284" t="str">
        <f>'Raw Data'!H284</f>
        <v>Mobile Payment</v>
      </c>
      <c r="I284" t="str">
        <f>IF('Raw Data'!D284="",IF(D284="Unknown","Could not recover","Filled from Price lookup"),IF(TRIM('Raw Data'!D284)&lt;&gt;'Raw Data'!D284,"Trimmed whitespace","OK"))</f>
        <v>OK</v>
      </c>
      <c r="J284" t="str">
        <f t="shared" si="4"/>
        <v>OK</v>
      </c>
    </row>
    <row r="285" spans="1:10">
      <c r="A285" t="str">
        <f>'Raw Data'!A285</f>
        <v>TXN_1028</v>
      </c>
      <c r="B285" s="1">
        <f>'Raw Data'!B285</f>
        <v>45733</v>
      </c>
      <c r="C285" t="str">
        <f>IFERROR(INDEX('Reference Table'!$C$2:$C$46,MATCH(D285,'Reference Table'!$A$2:$A$46,0)),"Unknown")</f>
        <v>Butchers</v>
      </c>
      <c r="D285" t="str">
        <f t="array" ref="D285">IF(TRIM('Raw Data'!D285)&lt;&gt;"",TRIM('Raw Data'!D285),IFERROR(INDEX('Reference Table'!$A$2:$A$46,MATCH(VALUE('Raw Data'!E285),VALUE('Reference Table'!$B$2:$B$46),0)),"Unknown"))</f>
        <v>Meat_Mutton_1kg</v>
      </c>
      <c r="E285" t="str">
        <f>IF('Raw Data'!E285&lt;&gt;"",'Raw Data'!E285,IFERROR(INDEX('Reference Table'!$B$2:$B$32,MATCH(D285,'Reference Table'!$A$2:$A$32,0)),""))</f>
        <v/>
      </c>
      <c r="F285">
        <f>IF('Raw Data'!F285&lt;&gt;"",'Raw Data'!F285,IFERROR(ROUND('Raw Data'!G285/E285,0),""))</f>
        <v>1</v>
      </c>
      <c r="G285">
        <f>IF('Raw Data'!G285&lt;&gt;"",'Raw Data'!G285,IFERROR(ROUND(E285*F285,2),""))</f>
        <v>650</v>
      </c>
      <c r="H285" t="str">
        <f>'Raw Data'!H285</f>
        <v>Mobile Payment</v>
      </c>
      <c r="I285" t="str">
        <f>IF('Raw Data'!D285="",IF(D285="Unknown","Could not recover","Filled from Price lookup"),IF(TRIM('Raw Data'!D285)&lt;&gt;'Raw Data'!D285,"Trimmed whitespace","OK"))</f>
        <v>OK</v>
      </c>
      <c r="J285" t="str">
        <f t="shared" si="4"/>
        <v>Incomplete</v>
      </c>
    </row>
    <row r="286" spans="1:10">
      <c r="A286" t="str">
        <f>'Raw Data'!A286</f>
        <v>TXN_1232</v>
      </c>
      <c r="B286" s="1">
        <f>'Raw Data'!B286</f>
        <v>45723</v>
      </c>
      <c r="C286" t="str">
        <f>IFERROR(INDEX('Reference Table'!$C$2:$C$46,MATCH(D286,'Reference Table'!$A$2:$A$46,0)),"Unknown")</f>
        <v>Patisserie</v>
      </c>
      <c r="D286" t="str">
        <f t="array" ref="D286">IF(TRIM('Raw Data'!D286)&lt;&gt;"",TRIM('Raw Data'!D286),IFERROR(INDEX('Reference Table'!$A$2:$A$46,MATCH(VALUE('Raw Data'!E286),VALUE('Reference Table'!$B$2:$B$46),0)),"Unknown"))</f>
        <v>Pat_Donut</v>
      </c>
      <c r="E286">
        <f>IF('Raw Data'!E286&lt;&gt;"",'Raw Data'!E286,IFERROR(INDEX('Reference Table'!$B$2:$B$32,MATCH(D286,'Reference Table'!$A$2:$A$32,0)),""))</f>
        <v>30</v>
      </c>
      <c r="F286">
        <f>IF('Raw Data'!F286&lt;&gt;"",'Raw Data'!F286,IFERROR(ROUND('Raw Data'!G286/E286,0),""))</f>
        <v>2</v>
      </c>
      <c r="G286">
        <f>IF('Raw Data'!G286&lt;&gt;"",'Raw Data'!G286,IFERROR(ROUND(E286*F286,2),""))</f>
        <v>60</v>
      </c>
      <c r="H286" t="str">
        <f>'Raw Data'!H286</f>
        <v>Mobile Payment</v>
      </c>
      <c r="I286" t="str">
        <f>IF('Raw Data'!D286="",IF(D286="Unknown","Could not recover","Filled from Price lookup"),IF(TRIM('Raw Data'!D286)&lt;&gt;'Raw Data'!D286,"Trimmed whitespace","OK"))</f>
        <v>OK</v>
      </c>
      <c r="J286" t="str">
        <f t="shared" si="4"/>
        <v>OK</v>
      </c>
    </row>
    <row r="287" spans="1:10">
      <c r="A287" t="str">
        <f>'Raw Data'!A287</f>
        <v>TXN_1059</v>
      </c>
      <c r="B287" s="1">
        <f>'Raw Data'!B287</f>
        <v>45675</v>
      </c>
      <c r="C287" t="str">
        <f>IFERROR(INDEX('Reference Table'!$C$2:$C$46,MATCH(D287,'Reference Table'!$A$2:$A$46,0)),"Unknown")</f>
        <v>Beverages</v>
      </c>
      <c r="D287" t="str">
        <f t="array" ref="D287">IF(TRIM('Raw Data'!D287)&lt;&gt;"",TRIM('Raw Data'!D287),IFERROR(INDEX('Reference Table'!$A$2:$A$46,MATCH(VALUE('Raw Data'!E287),VALUE('Reference Table'!$B$2:$B$46),0)),"Unknown"))</f>
        <v>Bev_Tea_100g</v>
      </c>
      <c r="E287">
        <f>IF('Raw Data'!E287&lt;&gt;"",'Raw Data'!E287,IFERROR(INDEX('Reference Table'!$B$2:$B$32,MATCH(D287,'Reference Table'!$A$2:$A$32,0)),""))</f>
        <v>90</v>
      </c>
      <c r="F287">
        <f>IF('Raw Data'!F287&lt;&gt;"",'Raw Data'!F287,IFERROR(ROUND('Raw Data'!G287/E287,0),""))</f>
        <v>5</v>
      </c>
      <c r="G287">
        <f>IF('Raw Data'!G287&lt;&gt;"",'Raw Data'!G287,IFERROR(ROUND(E287*F287,2),""))</f>
        <v>450</v>
      </c>
      <c r="H287" t="str">
        <f>'Raw Data'!H287</f>
        <v>Credit Card</v>
      </c>
      <c r="I287" t="str">
        <f>IF('Raw Data'!D287="",IF(D287="Unknown","Could not recover","Filled from Price lookup"),IF(TRIM('Raw Data'!D287)&lt;&gt;'Raw Data'!D287,"Trimmed whitespace","OK"))</f>
        <v>OK</v>
      </c>
      <c r="J287" t="str">
        <f t="shared" si="4"/>
        <v>OK</v>
      </c>
    </row>
    <row r="288" spans="1:10">
      <c r="A288" t="str">
        <f>'Raw Data'!A288</f>
        <v>TXN_1222</v>
      </c>
      <c r="B288" s="1">
        <f>'Raw Data'!B288</f>
        <v>45708</v>
      </c>
      <c r="C288" t="str">
        <f>IFERROR(INDEX('Reference Table'!$C$2:$C$46,MATCH(D288,'Reference Table'!$A$2:$A$46,0)),"Unknown")</f>
        <v>Electric Accessories</v>
      </c>
      <c r="D288" t="str">
        <f t="array" ref="D288">IF(TRIM('Raw Data'!D288)&lt;&gt;"",TRIM('Raw Data'!D288),IFERROR(INDEX('Reference Table'!$A$2:$A$46,MATCH(VALUE('Raw Data'!E288),VALUE('Reference Table'!$B$2:$B$46),0)),"Unknown"))</f>
        <v>Elec_Powerbank</v>
      </c>
      <c r="E288">
        <f>IF('Raw Data'!E288&lt;&gt;"",'Raw Data'!E288,IFERROR(INDEX('Reference Table'!$B$2:$B$32,MATCH(D288,'Reference Table'!$A$2:$A$32,0)),""))</f>
        <v>900</v>
      </c>
      <c r="F288">
        <f>IF('Raw Data'!F288&lt;&gt;"",'Raw Data'!F288,IFERROR(ROUND('Raw Data'!G288/E288,0),""))</f>
        <v>3</v>
      </c>
      <c r="G288">
        <f>IF('Raw Data'!G288&lt;&gt;"",'Raw Data'!G288,IFERROR(ROUND(E288*F288,2),""))</f>
        <v>2700</v>
      </c>
      <c r="H288" t="str">
        <f>'Raw Data'!H288</f>
        <v>Mobile Payment</v>
      </c>
      <c r="I288" t="str">
        <f>IF('Raw Data'!D288="",IF(D288="Unknown","Could not recover","Filled from Price lookup"),IF(TRIM('Raw Data'!D288)&lt;&gt;'Raw Data'!D288,"Trimmed whitespace","OK"))</f>
        <v>OK</v>
      </c>
      <c r="J288" t="str">
        <f t="shared" si="4"/>
        <v>OK</v>
      </c>
    </row>
    <row r="289" spans="1:10">
      <c r="A289" t="str">
        <f>'Raw Data'!A289</f>
        <v>TXN_1378</v>
      </c>
      <c r="B289" s="1">
        <f>'Raw Data'!B289</f>
        <v>45688</v>
      </c>
      <c r="C289" t="str">
        <f>IFERROR(INDEX('Reference Table'!$C$2:$C$46,MATCH(D289,'Reference Table'!$A$2:$A$46,0)),"Unknown")</f>
        <v>Butchers</v>
      </c>
      <c r="D289" t="str">
        <f t="array" ref="D289">IF(TRIM('Raw Data'!D289)&lt;&gt;"",TRIM('Raw Data'!D289),IFERROR(INDEX('Reference Table'!$A$2:$A$46,MATCH(VALUE('Raw Data'!E289),VALUE('Reference Table'!$B$2:$B$46),0)),"Unknown"))</f>
        <v>Meat_Bacon_250g</v>
      </c>
      <c r="E289">
        <f>IF('Raw Data'!E289&lt;&gt;"",'Raw Data'!E289,IFERROR(INDEX('Reference Table'!$B$2:$B$32,MATCH(D289,'Reference Table'!$A$2:$A$32,0)),""))</f>
        <v>190</v>
      </c>
      <c r="F289">
        <f>IF('Raw Data'!F289&lt;&gt;"",'Raw Data'!F289,IFERROR(ROUND('Raw Data'!G289/E289,0),""))</f>
        <v>5</v>
      </c>
      <c r="G289">
        <f>IF('Raw Data'!G289&lt;&gt;"",'Raw Data'!G289,IFERROR(ROUND(E289*F289,2),""))</f>
        <v>950</v>
      </c>
      <c r="H289" t="str">
        <f>'Raw Data'!H289</f>
        <v>Debit Card</v>
      </c>
      <c r="I289" t="str">
        <f>IF('Raw Data'!D289="",IF(D289="Unknown","Could not recover","Filled from Price lookup"),IF(TRIM('Raw Data'!D289)&lt;&gt;'Raw Data'!D289,"Trimmed whitespace","OK"))</f>
        <v>OK</v>
      </c>
      <c r="J289" t="str">
        <f t="shared" si="4"/>
        <v>OK</v>
      </c>
    </row>
    <row r="290" spans="1:10">
      <c r="A290" t="str">
        <f>'Raw Data'!A290</f>
        <v>TXN_1125</v>
      </c>
      <c r="B290" s="1">
        <f>'Raw Data'!B290</f>
        <v>45670</v>
      </c>
      <c r="C290" t="str">
        <f>IFERROR(INDEX('Reference Table'!$C$2:$C$46,MATCH(D290,'Reference Table'!$A$2:$A$46,0)),"Unknown")</f>
        <v>Electric Accessories</v>
      </c>
      <c r="D290" t="str">
        <f t="array" ref="D290">IF(TRIM('Raw Data'!D290)&lt;&gt;"",TRIM('Raw Data'!D290),IFERROR(INDEX('Reference Table'!$A$2:$A$46,MATCH(VALUE('Raw Data'!E290),VALUE('Reference Table'!$B$2:$B$46),0)),"Unknown"))</f>
        <v>Elec_Powerbank</v>
      </c>
      <c r="E290">
        <f>IF('Raw Data'!E290&lt;&gt;"",'Raw Data'!E290,IFERROR(INDEX('Reference Table'!$B$2:$B$32,MATCH(D290,'Reference Table'!$A$2:$A$32,0)),""))</f>
        <v>900</v>
      </c>
      <c r="F290">
        <f>IF('Raw Data'!F290&lt;&gt;"",'Raw Data'!F290,IFERROR(ROUND('Raw Data'!G290/E290,0),""))</f>
        <v>2</v>
      </c>
      <c r="G290">
        <f>IF('Raw Data'!G290&lt;&gt;"",'Raw Data'!G290,IFERROR(ROUND(E290*F290,2),""))</f>
        <v>2700</v>
      </c>
      <c r="H290" t="str">
        <f>'Raw Data'!H290</f>
        <v>Debit Card</v>
      </c>
      <c r="I290" t="str">
        <f>IF('Raw Data'!D290="",IF(D290="Unknown","Could not recover","Filled from Price lookup"),IF(TRIM('Raw Data'!D290)&lt;&gt;'Raw Data'!D290,"Trimmed whitespace","OK"))</f>
        <v>OK</v>
      </c>
      <c r="J290" t="str">
        <f t="shared" si="4"/>
        <v>Mismatch</v>
      </c>
    </row>
    <row r="291" spans="1:10">
      <c r="A291" t="str">
        <f>'Raw Data'!A291</f>
        <v>TXN_1029</v>
      </c>
      <c r="B291" s="1">
        <f>'Raw Data'!B291</f>
        <v>45882</v>
      </c>
      <c r="C291" t="str">
        <f>IFERROR(INDEX('Reference Table'!$C$2:$C$46,MATCH(D291,'Reference Table'!$A$2:$A$46,0)),"Unknown")</f>
        <v>Beverages</v>
      </c>
      <c r="D291" t="str">
        <f t="array" ref="D291">IF(TRIM('Raw Data'!D291)&lt;&gt;"",TRIM('Raw Data'!D291),IFERROR(INDEX('Reference Table'!$A$2:$A$46,MATCH(VALUE('Raw Data'!E291),VALUE('Reference Table'!$B$2:$B$46),0)),"Unknown"))</f>
        <v>Bev_Cola_1L</v>
      </c>
      <c r="E291">
        <f>IF('Raw Data'!E291&lt;&gt;"",'Raw Data'!E291,IFERROR(INDEX('Reference Table'!$B$2:$B$32,MATCH(D291,'Reference Table'!$A$2:$A$32,0)),""))</f>
        <v>60</v>
      </c>
      <c r="F291">
        <f>IF('Raw Data'!F291&lt;&gt;"",'Raw Data'!F291,IFERROR(ROUND('Raw Data'!G291/E291,0),""))</f>
        <v>6</v>
      </c>
      <c r="G291">
        <f>IF('Raw Data'!G291&lt;&gt;"",'Raw Data'!G291,IFERROR(ROUND(E291*F291,2),""))</f>
        <v>360</v>
      </c>
      <c r="H291" t="str">
        <f>'Raw Data'!H291</f>
        <v>Debit Card</v>
      </c>
      <c r="I291" t="str">
        <f>IF('Raw Data'!D291="",IF(D291="Unknown","Could not recover","Filled from Price lookup"),IF(TRIM('Raw Data'!D291)&lt;&gt;'Raw Data'!D291,"Trimmed whitespace","OK"))</f>
        <v>OK</v>
      </c>
      <c r="J291" t="str">
        <f t="shared" si="4"/>
        <v>OK</v>
      </c>
    </row>
    <row r="292" spans="1:10">
      <c r="A292" t="str">
        <f>'Raw Data'!A292</f>
        <v>TXN_1344</v>
      </c>
      <c r="B292" s="1">
        <f>'Raw Data'!B292</f>
        <v>45813</v>
      </c>
      <c r="C292" t="str">
        <f>IFERROR(INDEX('Reference Table'!$C$2:$C$46,MATCH(D292,'Reference Table'!$A$2:$A$46,0)),"Unknown")</f>
        <v>Furniture</v>
      </c>
      <c r="D292" t="str">
        <f t="array" ref="D292">IF(TRIM('Raw Data'!D292)&lt;&gt;"",TRIM('Raw Data'!D292),IFERROR(INDEX('Reference Table'!$A$2:$A$46,MATCH(VALUE('Raw Data'!E292),VALUE('Reference Table'!$B$2:$B$46),0)),"Unknown"))</f>
        <v>Furn_Chair</v>
      </c>
      <c r="E292">
        <f>IF('Raw Data'!E292&lt;&gt;"",'Raw Data'!E292,IFERROR(INDEX('Reference Table'!$B$2:$B$32,MATCH(D292,'Reference Table'!$A$2:$A$32,0)),""))</f>
        <v>2500</v>
      </c>
      <c r="F292">
        <f>IF('Raw Data'!F292&lt;&gt;"",'Raw Data'!F292,IFERROR(ROUND('Raw Data'!G292/E292,0),""))</f>
        <v>6</v>
      </c>
      <c r="G292">
        <f>IF('Raw Data'!G292&lt;&gt;"",'Raw Data'!G292,IFERROR(ROUND(E292*F292,2),""))</f>
        <v>15000</v>
      </c>
      <c r="H292" t="str">
        <f>'Raw Data'!H292</f>
        <v>Mobile Payment</v>
      </c>
      <c r="I292" t="str">
        <f>IF('Raw Data'!D292="",IF(D292="Unknown","Could not recover","Filled from Price lookup"),IF(TRIM('Raw Data'!D292)&lt;&gt;'Raw Data'!D292,"Trimmed whitespace","OK"))</f>
        <v>Filled from Price lookup</v>
      </c>
      <c r="J292" t="str">
        <f t="shared" si="4"/>
        <v>OK</v>
      </c>
    </row>
    <row r="293" spans="1:10">
      <c r="A293" t="str">
        <f>'Raw Data'!A293</f>
        <v>TXN_1570</v>
      </c>
      <c r="B293" s="1">
        <f>'Raw Data'!B293</f>
        <v>45711</v>
      </c>
      <c r="C293" t="str">
        <f>IFERROR(INDEX('Reference Table'!$C$2:$C$46,MATCH(D293,'Reference Table'!$A$2:$A$46,0)),"Unknown")</f>
        <v>Electric Accessories</v>
      </c>
      <c r="D293" t="str">
        <f t="array" ref="D293">IF(TRIM('Raw Data'!D293)&lt;&gt;"",TRIM('Raw Data'!D293),IFERROR(INDEX('Reference Table'!$A$2:$A$46,MATCH(VALUE('Raw Data'!E293),VALUE('Reference Table'!$B$2:$B$46),0)),"Unknown"))</f>
        <v>Elec_Powerbank</v>
      </c>
      <c r="E293">
        <f>IF('Raw Data'!E293&lt;&gt;"",'Raw Data'!E293,IFERROR(INDEX('Reference Table'!$B$2:$B$32,MATCH(D293,'Reference Table'!$A$2:$A$32,0)),""))</f>
        <v>900</v>
      </c>
      <c r="F293">
        <f>IF('Raw Data'!F293&lt;&gt;"",'Raw Data'!F293,IFERROR(ROUND('Raw Data'!G293/E293,0),""))</f>
        <v>6</v>
      </c>
      <c r="G293">
        <f>IF('Raw Data'!G293&lt;&gt;"",'Raw Data'!G293,IFERROR(ROUND(E293*F293,2),""))</f>
        <v>5400</v>
      </c>
      <c r="H293" t="str">
        <f>'Raw Data'!H293</f>
        <v>Mobile Payment</v>
      </c>
      <c r="I293" t="str">
        <f>IF('Raw Data'!D293="",IF(D293="Unknown","Could not recover","Filled from Price lookup"),IF(TRIM('Raw Data'!D293)&lt;&gt;'Raw Data'!D293,"Trimmed whitespace","OK"))</f>
        <v>OK</v>
      </c>
      <c r="J293" t="str">
        <f t="shared" si="4"/>
        <v>OK</v>
      </c>
    </row>
    <row r="294" spans="1:10">
      <c r="A294" t="str">
        <f>'Raw Data'!A294</f>
        <v>TXN_1411</v>
      </c>
      <c r="B294" s="1">
        <f>'Raw Data'!B294</f>
        <v>45738</v>
      </c>
      <c r="C294" t="str">
        <f>IFERROR(INDEX('Reference Table'!$C$2:$C$46,MATCH(D294,'Reference Table'!$A$2:$A$46,0)),"Unknown")</f>
        <v>Furniture</v>
      </c>
      <c r="D294" t="str">
        <f t="array" ref="D294">IF(TRIM('Raw Data'!D294)&lt;&gt;"",TRIM('Raw Data'!D294),IFERROR(INDEX('Reference Table'!$A$2:$A$46,MATCH(VALUE('Raw Data'!E294),VALUE('Reference Table'!$B$2:$B$46),0)),"Unknown"))</f>
        <v>Furn_Small_Table</v>
      </c>
      <c r="E294">
        <f>IF('Raw Data'!E294&lt;&gt;"",'Raw Data'!E294,IFERROR(INDEX('Reference Table'!$B$2:$B$32,MATCH(D294,'Reference Table'!$A$2:$A$32,0)),""))</f>
        <v>3200</v>
      </c>
      <c r="F294">
        <f>IF('Raw Data'!F294&lt;&gt;"",'Raw Data'!F294,IFERROR(ROUND('Raw Data'!G294/E294,0),""))</f>
        <v>6</v>
      </c>
      <c r="G294">
        <f>IF('Raw Data'!G294&lt;&gt;"",'Raw Data'!G294,IFERROR(ROUND(E294*F294,2),""))</f>
        <v>19200</v>
      </c>
      <c r="H294" t="str">
        <f>'Raw Data'!H294</f>
        <v>Credit Card</v>
      </c>
      <c r="I294" t="str">
        <f>IF('Raw Data'!D294="",IF(D294="Unknown","Could not recover","Filled from Price lookup"),IF(TRIM('Raw Data'!D294)&lt;&gt;'Raw Data'!D294,"Trimmed whitespace","OK"))</f>
        <v>OK</v>
      </c>
      <c r="J294" t="str">
        <f t="shared" si="4"/>
        <v>OK</v>
      </c>
    </row>
    <row r="295" spans="1:10">
      <c r="A295" t="str">
        <f>'Raw Data'!A295</f>
        <v>TXN_1565</v>
      </c>
      <c r="B295" s="1">
        <f>'Raw Data'!B295</f>
        <v>45709</v>
      </c>
      <c r="C295" t="str">
        <f>IFERROR(INDEX('Reference Table'!$C$2:$C$46,MATCH(D295,'Reference Table'!$A$2:$A$46,0)),"Unknown")</f>
        <v>Furniture</v>
      </c>
      <c r="D295" t="str">
        <f t="array" ref="D295">IF(TRIM('Raw Data'!D295)&lt;&gt;"",TRIM('Raw Data'!D295),IFERROR(INDEX('Reference Table'!$A$2:$A$46,MATCH(VALUE('Raw Data'!E295),VALUE('Reference Table'!$B$2:$B$46),0)),"Unknown"))</f>
        <v>Furn_Shelf</v>
      </c>
      <c r="E295">
        <f>IF('Raw Data'!E295&lt;&gt;"",'Raw Data'!E295,IFERROR(INDEX('Reference Table'!$B$2:$B$32,MATCH(D295,'Reference Table'!$A$2:$A$32,0)),""))</f>
        <v>1800</v>
      </c>
      <c r="F295">
        <f>IF('Raw Data'!F295&lt;&gt;"",'Raw Data'!F295,IFERROR(ROUND('Raw Data'!G295/E295,0),""))</f>
        <v>6</v>
      </c>
      <c r="G295">
        <f>IF('Raw Data'!G295&lt;&gt;"",'Raw Data'!G295,IFERROR(ROUND(E295*F295,2),""))</f>
        <v>10800</v>
      </c>
      <c r="H295" t="str">
        <f>'Raw Data'!H295</f>
        <v>Mobile Payment</v>
      </c>
      <c r="I295" t="str">
        <f>IF('Raw Data'!D295="",IF(D295="Unknown","Could not recover","Filled from Price lookup"),IF(TRIM('Raw Data'!D295)&lt;&gt;'Raw Data'!D295,"Trimmed whitespace","OK"))</f>
        <v>OK</v>
      </c>
      <c r="J295" t="str">
        <f t="shared" si="4"/>
        <v>OK</v>
      </c>
    </row>
    <row r="296" spans="1:10">
      <c r="A296" t="str">
        <f>'Raw Data'!A296</f>
        <v>TXN_1427</v>
      </c>
      <c r="B296" s="1">
        <f>'Raw Data'!B296</f>
        <v>45866</v>
      </c>
      <c r="C296" t="str">
        <f>IFERROR(INDEX('Reference Table'!$C$2:$C$46,MATCH(D296,'Reference Table'!$A$2:$A$46,0)),"Unknown")</f>
        <v>Patisserie</v>
      </c>
      <c r="D296" t="str">
        <f t="array" ref="D296">IF(TRIM('Raw Data'!D296)&lt;&gt;"",TRIM('Raw Data'!D296),IFERROR(INDEX('Reference Table'!$A$2:$A$46,MATCH(VALUE('Raw Data'!E296),VALUE('Reference Table'!$B$2:$B$46),0)),"Unknown"))</f>
        <v>Pat_Cookie_Pack</v>
      </c>
      <c r="E296">
        <f>IF('Raw Data'!E296&lt;&gt;"",'Raw Data'!E296,IFERROR(INDEX('Reference Table'!$B$2:$B$32,MATCH(D296,'Reference Table'!$A$2:$A$32,0)),""))</f>
        <v>55</v>
      </c>
      <c r="F296">
        <f>IF('Raw Data'!F296&lt;&gt;"",'Raw Data'!F296,IFERROR(ROUND('Raw Data'!G296/E296,0),""))</f>
        <v>4</v>
      </c>
      <c r="G296">
        <f>IF('Raw Data'!G296&lt;&gt;"",'Raw Data'!G296,IFERROR(ROUND(E296*F296,2),""))</f>
        <v>330</v>
      </c>
      <c r="H296" t="str">
        <f>'Raw Data'!H296</f>
        <v>Cash</v>
      </c>
      <c r="I296" t="str">
        <f>IF('Raw Data'!D296="",IF(D296="Unknown","Could not recover","Filled from Price lookup"),IF(TRIM('Raw Data'!D296)&lt;&gt;'Raw Data'!D296,"Trimmed whitespace","OK"))</f>
        <v>OK</v>
      </c>
      <c r="J296" t="str">
        <f t="shared" si="4"/>
        <v>Mismatch</v>
      </c>
    </row>
    <row r="297" spans="1:10">
      <c r="A297" t="str">
        <f>'Raw Data'!A297</f>
        <v>TXN_1167</v>
      </c>
      <c r="B297" s="1">
        <f>'Raw Data'!B297</f>
        <v>45878</v>
      </c>
      <c r="C297" t="str">
        <f>IFERROR(INDEX('Reference Table'!$C$2:$C$46,MATCH(D297,'Reference Table'!$A$2:$A$46,0)),"Unknown")</f>
        <v>Electric Accessories</v>
      </c>
      <c r="D297" t="str">
        <f t="array" ref="D297">IF(TRIM('Raw Data'!D297)&lt;&gt;"",TRIM('Raw Data'!D297),IFERROR(INDEX('Reference Table'!$A$2:$A$46,MATCH(VALUE('Raw Data'!E297),VALUE('Reference Table'!$B$2:$B$46),0)),"Unknown"))</f>
        <v>Elec_Batteries_4pk</v>
      </c>
      <c r="E297">
        <f>IF('Raw Data'!E297&lt;&gt;"",'Raw Data'!E297,IFERROR(INDEX('Reference Table'!$B$2:$B$32,MATCH(D297,'Reference Table'!$A$2:$A$32,0)),""))</f>
        <v>90</v>
      </c>
      <c r="F297">
        <f>IF('Raw Data'!F297&lt;&gt;"",'Raw Data'!F297,IFERROR(ROUND('Raw Data'!G297/E297,0),""))</f>
        <v>3</v>
      </c>
      <c r="G297">
        <f>IF('Raw Data'!G297&lt;&gt;"",'Raw Data'!G297,IFERROR(ROUND(E297*F297,2),""))</f>
        <v>270</v>
      </c>
      <c r="H297" t="str">
        <f>'Raw Data'!H297</f>
        <v>Mobile Payment</v>
      </c>
      <c r="I297" t="str">
        <f>IF('Raw Data'!D297="",IF(D297="Unknown","Could not recover","Filled from Price lookup"),IF(TRIM('Raw Data'!D297)&lt;&gt;'Raw Data'!D297,"Trimmed whitespace","OK"))</f>
        <v>OK</v>
      </c>
      <c r="J297" t="str">
        <f t="shared" si="4"/>
        <v>OK</v>
      </c>
    </row>
    <row r="298" spans="1:10">
      <c r="A298" t="str">
        <f>'Raw Data'!A298</f>
        <v>TXN_1306</v>
      </c>
      <c r="B298" s="1">
        <f>'Raw Data'!B298</f>
        <v>45770</v>
      </c>
      <c r="C298" t="str">
        <f>IFERROR(INDEX('Reference Table'!$C$2:$C$46,MATCH(D298,'Reference Table'!$A$2:$A$46,0)),"Unknown")</f>
        <v>Butchers</v>
      </c>
      <c r="D298" t="str">
        <f t="array" ref="D298">IF(TRIM('Raw Data'!D298)&lt;&gt;"",TRIM('Raw Data'!D298),IFERROR(INDEX('Reference Table'!$A$2:$A$46,MATCH(VALUE('Raw Data'!E298),VALUE('Reference Table'!$B$2:$B$46),0)),"Unknown"))</f>
        <v>Meat_Chicken_1kg</v>
      </c>
      <c r="E298">
        <f>IF('Raw Data'!E298&lt;&gt;"",'Raw Data'!E298,IFERROR(INDEX('Reference Table'!$B$2:$B$32,MATCH(D298,'Reference Table'!$A$2:$A$32,0)),""))</f>
        <v>220</v>
      </c>
      <c r="F298">
        <f>IF('Raw Data'!F298&lt;&gt;"",'Raw Data'!F298,IFERROR(ROUND('Raw Data'!G298/E298,0),""))</f>
        <v>2</v>
      </c>
      <c r="G298">
        <f>IF('Raw Data'!G298&lt;&gt;"",'Raw Data'!G298,IFERROR(ROUND(E298*F298,2),""))</f>
        <v>440</v>
      </c>
      <c r="H298" t="str">
        <f>'Raw Data'!H298</f>
        <v>Cash</v>
      </c>
      <c r="I298" t="str">
        <f>IF('Raw Data'!D298="",IF(D298="Unknown","Could not recover","Filled from Price lookup"),IF(TRIM('Raw Data'!D298)&lt;&gt;'Raw Data'!D298,"Trimmed whitespace","OK"))</f>
        <v>OK</v>
      </c>
      <c r="J298" t="str">
        <f t="shared" si="4"/>
        <v>OK</v>
      </c>
    </row>
    <row r="299" spans="1:10">
      <c r="A299" t="str">
        <f>'Raw Data'!A299</f>
        <v>TXN_1079</v>
      </c>
      <c r="B299" s="1">
        <f>'Raw Data'!B299</f>
        <v>45884</v>
      </c>
      <c r="C299" t="str">
        <f>IFERROR(INDEX('Reference Table'!$C$2:$C$46,MATCH(D299,'Reference Table'!$A$2:$A$46,0)),"Unknown")</f>
        <v>Butchers</v>
      </c>
      <c r="D299" t="str">
        <f t="array" ref="D299">IF(TRIM('Raw Data'!D299)&lt;&gt;"",TRIM('Raw Data'!D299),IFERROR(INDEX('Reference Table'!$A$2:$A$46,MATCH(VALUE('Raw Data'!E299),VALUE('Reference Table'!$B$2:$B$46),0)),"Unknown"))</f>
        <v>Meat_Fish_1kg</v>
      </c>
      <c r="E299">
        <f>IF('Raw Data'!E299&lt;&gt;"",'Raw Data'!E299,IFERROR(INDEX('Reference Table'!$B$2:$B$32,MATCH(D299,'Reference Table'!$A$2:$A$32,0)),""))</f>
        <v>380</v>
      </c>
      <c r="F299">
        <f>IF('Raw Data'!F299&lt;&gt;"",'Raw Data'!F299,IFERROR(ROUND('Raw Data'!G299/E299,0),""))</f>
        <v>5</v>
      </c>
      <c r="G299">
        <f>IF('Raw Data'!G299&lt;&gt;"",'Raw Data'!G299,IFERROR(ROUND(E299*F299,2),""))</f>
        <v>1900</v>
      </c>
      <c r="H299" t="str">
        <f>'Raw Data'!H299</f>
        <v>Mobile Payment</v>
      </c>
      <c r="I299" t="str">
        <f>IF('Raw Data'!D299="",IF(D299="Unknown","Could not recover","Filled from Price lookup"),IF(TRIM('Raw Data'!D299)&lt;&gt;'Raw Data'!D299,"Trimmed whitespace","OK"))</f>
        <v>OK</v>
      </c>
      <c r="J299" t="str">
        <f t="shared" si="4"/>
        <v>OK</v>
      </c>
    </row>
    <row r="300" spans="1:10">
      <c r="A300" t="str">
        <f>'Raw Data'!A300</f>
        <v>TXN_1568</v>
      </c>
      <c r="B300" s="1">
        <f>'Raw Data'!B300</f>
        <v>45687</v>
      </c>
      <c r="C300" t="str">
        <f>IFERROR(INDEX('Reference Table'!$C$2:$C$46,MATCH(D300,'Reference Table'!$A$2:$A$46,0)),"Unknown")</f>
        <v>Electric Accessories</v>
      </c>
      <c r="D300" t="str">
        <f t="array" ref="D300">IF(TRIM('Raw Data'!D300)&lt;&gt;"",TRIM('Raw Data'!D300),IFERROR(INDEX('Reference Table'!$A$2:$A$46,MATCH(VALUE('Raw Data'!E300),VALUE('Reference Table'!$B$2:$B$46),0)),"Unknown"))</f>
        <v>Elec_Cable_USB</v>
      </c>
      <c r="E300">
        <f>IF('Raw Data'!E300&lt;&gt;"",'Raw Data'!E300,IFERROR(INDEX('Reference Table'!$B$2:$B$32,MATCH(D300,'Reference Table'!$A$2:$A$32,0)),""))</f>
        <v>150</v>
      </c>
      <c r="F300">
        <f>IF('Raw Data'!F300&lt;&gt;"",'Raw Data'!F300,IFERROR(ROUND('Raw Data'!G300/E300,0),""))</f>
        <v>3</v>
      </c>
      <c r="G300">
        <f>IF('Raw Data'!G300&lt;&gt;"",'Raw Data'!G300,IFERROR(ROUND(E300*F300,2),""))</f>
        <v>450</v>
      </c>
      <c r="H300" t="str">
        <f>'Raw Data'!H300</f>
        <v>Credit Card</v>
      </c>
      <c r="I300" t="str">
        <f>IF('Raw Data'!D300="",IF(D300="Unknown","Could not recover","Filled from Price lookup"),IF(TRIM('Raw Data'!D300)&lt;&gt;'Raw Data'!D300,"Trimmed whitespace","OK"))</f>
        <v>OK</v>
      </c>
      <c r="J300" t="str">
        <f t="shared" si="4"/>
        <v>OK</v>
      </c>
    </row>
    <row r="301" spans="1:10">
      <c r="A301" t="str">
        <f>'Raw Data'!A301</f>
        <v>TXN_1261</v>
      </c>
      <c r="B301" s="1">
        <f>'Raw Data'!B301</f>
        <v>45780</v>
      </c>
      <c r="C301" t="str">
        <f>IFERROR(INDEX('Reference Table'!$C$2:$C$46,MATCH(D301,'Reference Table'!$A$2:$A$46,0)),"Unknown")</f>
        <v>Beverages</v>
      </c>
      <c r="D301" t="str">
        <f t="array" ref="D301">IF(TRIM('Raw Data'!D301)&lt;&gt;"",TRIM('Raw Data'!D301),IFERROR(INDEX('Reference Table'!$A$2:$A$46,MATCH(VALUE('Raw Data'!E301),VALUE('Reference Table'!$B$2:$B$46),0)),"Unknown"))</f>
        <v>Bev_Juice_500ml</v>
      </c>
      <c r="E301">
        <f>IF('Raw Data'!E301&lt;&gt;"",'Raw Data'!E301,IFERROR(INDEX('Reference Table'!$B$2:$B$32,MATCH(D301,'Reference Table'!$A$2:$A$32,0)),""))</f>
        <v>45</v>
      </c>
      <c r="F301">
        <f>IF('Raw Data'!F301&lt;&gt;"",'Raw Data'!F301,IFERROR(ROUND('Raw Data'!G301/E301,0),""))</f>
        <v>1</v>
      </c>
      <c r="G301">
        <f>IF('Raw Data'!G301&lt;&gt;"",'Raw Data'!G301,IFERROR(ROUND(E301*F301,2),""))</f>
        <v>45</v>
      </c>
      <c r="H301" t="str">
        <f>'Raw Data'!H301</f>
        <v>Mobile Payment</v>
      </c>
      <c r="I301" t="str">
        <f>IF('Raw Data'!D301="",IF(D301="Unknown","Could not recover","Filled from Price lookup"),IF(TRIM('Raw Data'!D301)&lt;&gt;'Raw Data'!D301,"Trimmed whitespace","OK"))</f>
        <v>Trimmed whitespace</v>
      </c>
      <c r="J301" t="str">
        <f t="shared" si="4"/>
        <v>OK</v>
      </c>
    </row>
    <row r="302" spans="1:10">
      <c r="A302" t="str">
        <f>'Raw Data'!A302</f>
        <v>TXN_1040</v>
      </c>
      <c r="B302" s="1">
        <f>'Raw Data'!B302</f>
        <v>45688</v>
      </c>
      <c r="C302" t="str">
        <f>IFERROR(INDEX('Reference Table'!$C$2:$C$46,MATCH(D302,'Reference Table'!$A$2:$A$46,0)),"Unknown")</f>
        <v>Computers</v>
      </c>
      <c r="D302" t="str">
        <f t="array" ref="D302">IF(TRIM('Raw Data'!D302)&lt;&gt;"",TRIM('Raw Data'!D302),IFERROR(INDEX('Reference Table'!$A$2:$A$46,MATCH(VALUE('Raw Data'!E302),VALUE('Reference Table'!$B$2:$B$46),0)),"Unknown"))</f>
        <v>Comp_HDMI_Cable</v>
      </c>
      <c r="E302">
        <f>IF('Raw Data'!E302&lt;&gt;"",'Raw Data'!E302,IFERROR(INDEX('Reference Table'!$B$2:$B$32,MATCH(D302,'Reference Table'!$A$2:$A$32,0)),""))</f>
        <v>300</v>
      </c>
      <c r="F302">
        <f>IF('Raw Data'!F302&lt;&gt;"",'Raw Data'!F302,IFERROR(ROUND('Raw Data'!G302/E302,0),""))</f>
        <v>4</v>
      </c>
      <c r="G302">
        <f>IF('Raw Data'!G302&lt;&gt;"",'Raw Data'!G302,IFERROR(ROUND(E302*F302,2),""))</f>
        <v>1200</v>
      </c>
      <c r="H302" t="str">
        <f>'Raw Data'!H302</f>
        <v>Credit Card</v>
      </c>
      <c r="I302" t="str">
        <f>IF('Raw Data'!D302="",IF(D302="Unknown","Could not recover","Filled from Price lookup"),IF(TRIM('Raw Data'!D302)&lt;&gt;'Raw Data'!D302,"Trimmed whitespace","OK"))</f>
        <v>OK</v>
      </c>
      <c r="J302" t="str">
        <f t="shared" si="4"/>
        <v>OK</v>
      </c>
    </row>
    <row r="303" spans="1:10">
      <c r="A303" t="str">
        <f>'Raw Data'!A303</f>
        <v>TXN_1158</v>
      </c>
      <c r="B303" s="1">
        <f>'Raw Data'!B303</f>
        <v>45794</v>
      </c>
      <c r="C303" t="str">
        <f>IFERROR(INDEX('Reference Table'!$C$2:$C$46,MATCH(D303,'Reference Table'!$A$2:$A$46,0)),"Unknown")</f>
        <v>Beverages</v>
      </c>
      <c r="D303" t="str">
        <f t="array" ref="D303">IF(TRIM('Raw Data'!D303)&lt;&gt;"",TRIM('Raw Data'!D303),IFERROR(INDEX('Reference Table'!$A$2:$A$46,MATCH(VALUE('Raw Data'!E303),VALUE('Reference Table'!$B$2:$B$46),0)),"Unknown"))</f>
        <v>Bev_Cola_1L</v>
      </c>
      <c r="E303">
        <f>IF('Raw Data'!E303&lt;&gt;"",'Raw Data'!E303,IFERROR(INDEX('Reference Table'!$B$2:$B$32,MATCH(D303,'Reference Table'!$A$2:$A$32,0)),""))</f>
        <v>60</v>
      </c>
      <c r="F303">
        <f>IF('Raw Data'!F303&lt;&gt;"",'Raw Data'!F303,IFERROR(ROUND('Raw Data'!G303/E303,0),""))</f>
        <v>6</v>
      </c>
      <c r="G303">
        <f>IF('Raw Data'!G303&lt;&gt;"",'Raw Data'!G303,IFERROR(ROUND(E303*F303,2),""))</f>
        <v>360</v>
      </c>
      <c r="H303" t="str">
        <f>'Raw Data'!H303</f>
        <v>Credit Card</v>
      </c>
      <c r="I303" t="str">
        <f>IF('Raw Data'!D303="",IF(D303="Unknown","Could not recover","Filled from Price lookup"),IF(TRIM('Raw Data'!D303)&lt;&gt;'Raw Data'!D303,"Trimmed whitespace","OK"))</f>
        <v>OK</v>
      </c>
      <c r="J303" t="str">
        <f t="shared" si="4"/>
        <v>OK</v>
      </c>
    </row>
    <row r="304" spans="1:10">
      <c r="A304" t="str">
        <f>'Raw Data'!A304</f>
        <v>TXN_1437</v>
      </c>
      <c r="B304" s="1">
        <f>'Raw Data'!B304</f>
        <v>45745</v>
      </c>
      <c r="C304" t="str">
        <f>IFERROR(INDEX('Reference Table'!$C$2:$C$46,MATCH(D304,'Reference Table'!$A$2:$A$46,0)),"Unknown")</f>
        <v>Electric Accessories</v>
      </c>
      <c r="D304" t="str">
        <f t="array" ref="D304">IF(TRIM('Raw Data'!D304)&lt;&gt;"",TRIM('Raw Data'!D304),IFERROR(INDEX('Reference Table'!$A$2:$A$46,MATCH(VALUE('Raw Data'!E304),VALUE('Reference Table'!$B$2:$B$46),0)),"Unknown"))</f>
        <v>Elec_Powerbank</v>
      </c>
      <c r="E304">
        <f>IF('Raw Data'!E304&lt;&gt;"",'Raw Data'!E304,IFERROR(INDEX('Reference Table'!$B$2:$B$32,MATCH(D304,'Reference Table'!$A$2:$A$32,0)),""))</f>
        <v>900</v>
      </c>
      <c r="F304">
        <f>IF('Raw Data'!F304&lt;&gt;"",'Raw Data'!F304,IFERROR(ROUND('Raw Data'!G304/E304,0),""))</f>
        <v>5</v>
      </c>
      <c r="G304">
        <f>IF('Raw Data'!G304&lt;&gt;"",'Raw Data'!G304,IFERROR(ROUND(E304*F304,2),""))</f>
        <v>4500</v>
      </c>
      <c r="H304" t="str">
        <f>'Raw Data'!H304</f>
        <v>Debit Card</v>
      </c>
      <c r="I304" t="str">
        <f>IF('Raw Data'!D304="",IF(D304="Unknown","Could not recover","Filled from Price lookup"),IF(TRIM('Raw Data'!D304)&lt;&gt;'Raw Data'!D304,"Trimmed whitespace","OK"))</f>
        <v>OK</v>
      </c>
      <c r="J304" t="str">
        <f t="shared" si="4"/>
        <v>OK</v>
      </c>
    </row>
    <row r="305" spans="1:10">
      <c r="A305" t="str">
        <f>'Raw Data'!A305</f>
        <v>TXN_1553</v>
      </c>
      <c r="B305" s="1">
        <f>'Raw Data'!B305</f>
        <v>45800</v>
      </c>
      <c r="C305" t="str">
        <f>IFERROR(INDEX('Reference Table'!$C$2:$C$46,MATCH(D305,'Reference Table'!$A$2:$A$46,0)),"Unknown")</f>
        <v>Patisserie</v>
      </c>
      <c r="D305" t="str">
        <f t="array" ref="D305">IF(TRIM('Raw Data'!D305)&lt;&gt;"",TRIM('Raw Data'!D305),IFERROR(INDEX('Reference Table'!$A$2:$A$46,MATCH(VALUE('Raw Data'!E305),VALUE('Reference Table'!$B$2:$B$46),0)),"Unknown"))</f>
        <v>Pat_Cake_Slice</v>
      </c>
      <c r="E305">
        <f>IF('Raw Data'!E305&lt;&gt;"",'Raw Data'!E305,IFERROR(INDEX('Reference Table'!$B$2:$B$32,MATCH(D305,'Reference Table'!$A$2:$A$32,0)),""))</f>
        <v>90</v>
      </c>
      <c r="F305">
        <f>IF('Raw Data'!F305&lt;&gt;"",'Raw Data'!F305,IFERROR(ROUND('Raw Data'!G305/E305,0),""))</f>
        <v>5</v>
      </c>
      <c r="G305">
        <f>IF('Raw Data'!G305&lt;&gt;"",'Raw Data'!G305,IFERROR(ROUND(E305*F305,2),""))</f>
        <v>450</v>
      </c>
      <c r="H305" t="str">
        <f>'Raw Data'!H305</f>
        <v>Mobile Payment</v>
      </c>
      <c r="I305" t="str">
        <f>IF('Raw Data'!D305="",IF(D305="Unknown","Could not recover","Filled from Price lookup"),IF(TRIM('Raw Data'!D305)&lt;&gt;'Raw Data'!D305,"Trimmed whitespace","OK"))</f>
        <v>Filled from Price lookup</v>
      </c>
      <c r="J305" t="str">
        <f t="shared" si="4"/>
        <v>OK</v>
      </c>
    </row>
    <row r="306" spans="1:10">
      <c r="A306" t="str">
        <f>'Raw Data'!A306</f>
        <v>TXN_1078</v>
      </c>
      <c r="B306" s="1">
        <f>'Raw Data'!B306</f>
        <v>45711</v>
      </c>
      <c r="C306" t="str">
        <f>IFERROR(INDEX('Reference Table'!$C$2:$C$46,MATCH(D306,'Reference Table'!$A$2:$A$46,0)),"Unknown")</f>
        <v>Beverages</v>
      </c>
      <c r="D306" t="str">
        <f t="array" ref="D306">IF(TRIM('Raw Data'!D306)&lt;&gt;"",TRIM('Raw Data'!D306),IFERROR(INDEX('Reference Table'!$A$2:$A$46,MATCH(VALUE('Raw Data'!E306),VALUE('Reference Table'!$B$2:$B$46),0)),"Unknown"))</f>
        <v>Bev_Water_1L</v>
      </c>
      <c r="E306">
        <f>IF('Raw Data'!E306&lt;&gt;"",'Raw Data'!E306,IFERROR(INDEX('Reference Table'!$B$2:$B$32,MATCH(D306,'Reference Table'!$A$2:$A$32,0)),""))</f>
        <v>20</v>
      </c>
      <c r="F306">
        <f>IF('Raw Data'!F306&lt;&gt;"",'Raw Data'!F306,IFERROR(ROUND('Raw Data'!G306/E306,0),""))</f>
        <v>3</v>
      </c>
      <c r="G306">
        <f>IF('Raw Data'!G306&lt;&gt;"",'Raw Data'!G306,IFERROR(ROUND(E306*F306,2),""))</f>
        <v>60</v>
      </c>
      <c r="H306" t="str">
        <f>'Raw Data'!H306</f>
        <v>Credit Card</v>
      </c>
      <c r="I306" t="str">
        <f>IF('Raw Data'!D306="",IF(D306="Unknown","Could not recover","Filled from Price lookup"),IF(TRIM('Raw Data'!D306)&lt;&gt;'Raw Data'!D306,"Trimmed whitespace","OK"))</f>
        <v>OK</v>
      </c>
      <c r="J306" t="str">
        <f t="shared" si="4"/>
        <v>OK</v>
      </c>
    </row>
    <row r="307" spans="1:10">
      <c r="A307" t="str">
        <f>'Raw Data'!A307</f>
        <v>TXN_1541</v>
      </c>
      <c r="B307" s="1">
        <f>'Raw Data'!B307</f>
        <v>45831</v>
      </c>
      <c r="C307" t="str">
        <f>IFERROR(INDEX('Reference Table'!$C$2:$C$46,MATCH(D307,'Reference Table'!$A$2:$A$46,0)),"Unknown")</f>
        <v>Furniture</v>
      </c>
      <c r="D307" t="str">
        <f t="array" ref="D307">IF(TRIM('Raw Data'!D307)&lt;&gt;"",TRIM('Raw Data'!D307),IFERROR(INDEX('Reference Table'!$A$2:$A$46,MATCH(VALUE('Raw Data'!E307),VALUE('Reference Table'!$B$2:$B$46),0)),"Unknown"))</f>
        <v>Furn_Small_Table</v>
      </c>
      <c r="E307">
        <f>IF('Raw Data'!E307&lt;&gt;"",'Raw Data'!E307,IFERROR(INDEX('Reference Table'!$B$2:$B$32,MATCH(D307,'Reference Table'!$A$2:$A$32,0)),""))</f>
        <v>3200</v>
      </c>
      <c r="F307">
        <f>IF('Raw Data'!F307&lt;&gt;"",'Raw Data'!F307,IFERROR(ROUND('Raw Data'!G307/E307,0),""))</f>
        <v>4</v>
      </c>
      <c r="G307">
        <f>IF('Raw Data'!G307&lt;&gt;"",'Raw Data'!G307,IFERROR(ROUND(E307*F307,2),""))</f>
        <v>12800</v>
      </c>
      <c r="H307" t="str">
        <f>'Raw Data'!H307</f>
        <v>Debit Card</v>
      </c>
      <c r="I307" t="str">
        <f>IF('Raw Data'!D307="",IF(D307="Unknown","Could not recover","Filled from Price lookup"),IF(TRIM('Raw Data'!D307)&lt;&gt;'Raw Data'!D307,"Trimmed whitespace","OK"))</f>
        <v>OK</v>
      </c>
      <c r="J307" t="str">
        <f t="shared" si="4"/>
        <v>OK</v>
      </c>
    </row>
    <row r="308" spans="1:10">
      <c r="A308" t="str">
        <f>'Raw Data'!A308</f>
        <v>TXN_1577</v>
      </c>
      <c r="B308" s="1">
        <f>'Raw Data'!B308</f>
        <v>45802</v>
      </c>
      <c r="C308" t="str">
        <f>IFERROR(INDEX('Reference Table'!$C$2:$C$46,MATCH(D308,'Reference Table'!$A$2:$A$46,0)),"Unknown")</f>
        <v>Furniture</v>
      </c>
      <c r="D308" t="str">
        <f t="array" ref="D308">IF(TRIM('Raw Data'!D308)&lt;&gt;"",TRIM('Raw Data'!D308),IFERROR(INDEX('Reference Table'!$A$2:$A$46,MATCH(VALUE('Raw Data'!E308),VALUE('Reference Table'!$B$2:$B$46),0)),"Unknown"))</f>
        <v>Furn_Cushion</v>
      </c>
      <c r="E308">
        <f>IF('Raw Data'!E308&lt;&gt;"",'Raw Data'!E308,IFERROR(INDEX('Reference Table'!$B$2:$B$32,MATCH(D308,'Reference Table'!$A$2:$A$32,0)),""))</f>
        <v>350</v>
      </c>
      <c r="F308">
        <f>IF('Raw Data'!F308&lt;&gt;"",'Raw Data'!F308,IFERROR(ROUND('Raw Data'!G308/E308,0),""))</f>
        <v>1</v>
      </c>
      <c r="G308">
        <f>IF('Raw Data'!G308&lt;&gt;"",'Raw Data'!G308,IFERROR(ROUND(E308*F308,2),""))</f>
        <v>350</v>
      </c>
      <c r="H308" t="str">
        <f>'Raw Data'!H308</f>
        <v>Mobile Payment</v>
      </c>
      <c r="I308" t="str">
        <f>IF('Raw Data'!D308="",IF(D308="Unknown","Could not recover","Filled from Price lookup"),IF(TRIM('Raw Data'!D308)&lt;&gt;'Raw Data'!D308,"Trimmed whitespace","OK"))</f>
        <v>OK</v>
      </c>
      <c r="J308" t="str">
        <f t="shared" si="4"/>
        <v>OK</v>
      </c>
    </row>
    <row r="309" spans="1:10">
      <c r="A309" t="str">
        <f>'Raw Data'!A309</f>
        <v>TXN_1453</v>
      </c>
      <c r="B309" s="1">
        <f>'Raw Data'!B309</f>
        <v>45804</v>
      </c>
      <c r="C309" t="str">
        <f>IFERROR(INDEX('Reference Table'!$C$2:$C$46,MATCH(D309,'Reference Table'!$A$2:$A$46,0)),"Unknown")</f>
        <v>Food</v>
      </c>
      <c r="D309" t="str">
        <f t="array" ref="D309">IF(TRIM('Raw Data'!D309)&lt;&gt;"",TRIM('Raw Data'!D309),IFERROR(INDEX('Reference Table'!$A$2:$A$46,MATCH(VALUE('Raw Data'!E309),VALUE('Reference Table'!$B$2:$B$46),0)),"Unknown"))</f>
        <v>Food_Rice_1kg</v>
      </c>
      <c r="E309">
        <f>IF('Raw Data'!E309&lt;&gt;"",'Raw Data'!E309,IFERROR(INDEX('Reference Table'!$B$2:$B$32,MATCH(D309,'Reference Table'!$A$2:$A$32,0)),""))</f>
        <v>70</v>
      </c>
      <c r="F309">
        <f>IF('Raw Data'!F309&lt;&gt;"",'Raw Data'!F309,IFERROR(ROUND('Raw Data'!G309/E309,0),""))</f>
        <v>6</v>
      </c>
      <c r="G309">
        <f>IF('Raw Data'!G309&lt;&gt;"",'Raw Data'!G309,IFERROR(ROUND(E309*F309,2),""))</f>
        <v>420</v>
      </c>
      <c r="H309" t="str">
        <f>'Raw Data'!H309</f>
        <v>Credit Card</v>
      </c>
      <c r="I309" t="str">
        <f>IF('Raw Data'!D309="",IF(D309="Unknown","Could not recover","Filled from Price lookup"),IF(TRIM('Raw Data'!D309)&lt;&gt;'Raw Data'!D309,"Trimmed whitespace","OK"))</f>
        <v>OK</v>
      </c>
      <c r="J309" t="str">
        <f t="shared" si="4"/>
        <v>OK</v>
      </c>
    </row>
    <row r="310" spans="1:10">
      <c r="A310" t="str">
        <f>'Raw Data'!A310</f>
        <v>TXN_1205</v>
      </c>
      <c r="B310" s="1">
        <f>'Raw Data'!B310</f>
        <v>45827</v>
      </c>
      <c r="C310" t="str">
        <f>IFERROR(INDEX('Reference Table'!$C$2:$C$46,MATCH(D310,'Reference Table'!$A$2:$A$46,0)),"Unknown")</f>
        <v>Butchers</v>
      </c>
      <c r="D310" t="str">
        <f t="array" ref="D310">IF(TRIM('Raw Data'!D310)&lt;&gt;"",TRIM('Raw Data'!D310),IFERROR(INDEX('Reference Table'!$A$2:$A$46,MATCH(VALUE('Raw Data'!E310),VALUE('Reference Table'!$B$2:$B$46),0)),"Unknown"))</f>
        <v>Meat_Bacon_250g</v>
      </c>
      <c r="E310">
        <f>IF('Raw Data'!E310&lt;&gt;"",'Raw Data'!E310,IFERROR(INDEX('Reference Table'!$B$2:$B$32,MATCH(D310,'Reference Table'!$A$2:$A$32,0)),""))</f>
        <v>190</v>
      </c>
      <c r="F310">
        <f>IF('Raw Data'!F310&lt;&gt;"",'Raw Data'!F310,IFERROR(ROUND('Raw Data'!G310/E310,0),""))</f>
        <v>4</v>
      </c>
      <c r="G310">
        <f>IF('Raw Data'!G310&lt;&gt;"",'Raw Data'!G310,IFERROR(ROUND(E310*F310,2),""))</f>
        <v>760</v>
      </c>
      <c r="H310" t="str">
        <f>'Raw Data'!H310</f>
        <v>Credit Card</v>
      </c>
      <c r="I310" t="str">
        <f>IF('Raw Data'!D310="",IF(D310="Unknown","Could not recover","Filled from Price lookup"),IF(TRIM('Raw Data'!D310)&lt;&gt;'Raw Data'!D310,"Trimmed whitespace","OK"))</f>
        <v>OK</v>
      </c>
      <c r="J310" t="str">
        <f t="shared" si="4"/>
        <v>OK</v>
      </c>
    </row>
    <row r="311" spans="1:10">
      <c r="A311" t="str">
        <f>'Raw Data'!A311</f>
        <v>TXN_1419</v>
      </c>
      <c r="B311" s="1">
        <f>'Raw Data'!B311</f>
        <v>45787</v>
      </c>
      <c r="C311" t="str">
        <f>IFERROR(INDEX('Reference Table'!$C$2:$C$46,MATCH(D311,'Reference Table'!$A$2:$A$46,0)),"Unknown")</f>
        <v>Beverages</v>
      </c>
      <c r="D311" t="str">
        <f t="array" ref="D311">IF(TRIM('Raw Data'!D311)&lt;&gt;"",TRIM('Raw Data'!D311),IFERROR(INDEX('Reference Table'!$A$2:$A$46,MATCH(VALUE('Raw Data'!E311),VALUE('Reference Table'!$B$2:$B$46),0)),"Unknown"))</f>
        <v>Bev_Tea_100g</v>
      </c>
      <c r="E311">
        <f>IF('Raw Data'!E311&lt;&gt;"",'Raw Data'!E311,IFERROR(INDEX('Reference Table'!$B$2:$B$32,MATCH(D311,'Reference Table'!$A$2:$A$32,0)),""))</f>
        <v>90</v>
      </c>
      <c r="F311">
        <f>IF('Raw Data'!F311&lt;&gt;"",'Raw Data'!F311,IFERROR(ROUND('Raw Data'!G311/E311,0),""))</f>
        <v>4</v>
      </c>
      <c r="G311">
        <f>IF('Raw Data'!G311&lt;&gt;"",'Raw Data'!G311,IFERROR(ROUND(E311*F311,2),""))</f>
        <v>360</v>
      </c>
      <c r="H311" t="str">
        <f>'Raw Data'!H311</f>
        <v>Mobile Payment</v>
      </c>
      <c r="I311" t="str">
        <f>IF('Raw Data'!D311="",IF(D311="Unknown","Could not recover","Filled from Price lookup"),IF(TRIM('Raw Data'!D311)&lt;&gt;'Raw Data'!D311,"Trimmed whitespace","OK"))</f>
        <v>OK</v>
      </c>
      <c r="J311" t="str">
        <f t="shared" si="4"/>
        <v>OK</v>
      </c>
    </row>
    <row r="312" spans="1:10">
      <c r="A312" t="str">
        <f>'Raw Data'!A312</f>
        <v>TXN_1212</v>
      </c>
      <c r="B312" s="1">
        <f>'Raw Data'!B312</f>
        <v>45849</v>
      </c>
      <c r="C312" t="str">
        <f>IFERROR(INDEX('Reference Table'!$C$2:$C$46,MATCH(D312,'Reference Table'!$A$2:$A$46,0)),"Unknown")</f>
        <v>Patisserie</v>
      </c>
      <c r="D312" t="str">
        <f t="array" ref="D312">IF(TRIM('Raw Data'!D312)&lt;&gt;"",TRIM('Raw Data'!D312),IFERROR(INDEX('Reference Table'!$A$2:$A$46,MATCH(VALUE('Raw Data'!E312),VALUE('Reference Table'!$B$2:$B$46),0)),"Unknown"))</f>
        <v>Pat_Cake_Slice</v>
      </c>
      <c r="E312">
        <f>IF('Raw Data'!E312&lt;&gt;"",'Raw Data'!E312,IFERROR(INDEX('Reference Table'!$B$2:$B$32,MATCH(D312,'Reference Table'!$A$2:$A$32,0)),""))</f>
        <v>90</v>
      </c>
      <c r="F312">
        <f>IF('Raw Data'!F312&lt;&gt;"",'Raw Data'!F312,IFERROR(ROUND('Raw Data'!G312/E312,0),""))</f>
        <v>2</v>
      </c>
      <c r="G312">
        <f>IF('Raw Data'!G312&lt;&gt;"",'Raw Data'!G312,IFERROR(ROUND(E312*F312,2),""))</f>
        <v>180</v>
      </c>
      <c r="H312" t="str">
        <f>'Raw Data'!H312</f>
        <v>Cash</v>
      </c>
      <c r="I312" t="str">
        <f>IF('Raw Data'!D312="",IF(D312="Unknown","Could not recover","Filled from Price lookup"),IF(TRIM('Raw Data'!D312)&lt;&gt;'Raw Data'!D312,"Trimmed whitespace","OK"))</f>
        <v>Trimmed whitespace</v>
      </c>
      <c r="J312" t="str">
        <f t="shared" si="4"/>
        <v>OK</v>
      </c>
    </row>
    <row r="313" spans="1:10">
      <c r="A313" t="str">
        <f>'Raw Data'!A313</f>
        <v>TXN_1256</v>
      </c>
      <c r="B313" s="1">
        <f>'Raw Data'!B313</f>
        <v>45740</v>
      </c>
      <c r="C313" t="str">
        <f>IFERROR(INDEX('Reference Table'!$C$2:$C$46,MATCH(D313,'Reference Table'!$A$2:$A$46,0)),"Unknown")</f>
        <v>Patisserie</v>
      </c>
      <c r="D313" t="str">
        <f t="array" ref="D313">IF(TRIM('Raw Data'!D313)&lt;&gt;"",TRIM('Raw Data'!D313),IFERROR(INDEX('Reference Table'!$A$2:$A$46,MATCH(VALUE('Raw Data'!E313),VALUE('Reference Table'!$B$2:$B$46),0)),"Unknown"))</f>
        <v>Pat_Croissant</v>
      </c>
      <c r="E313">
        <f>IF('Raw Data'!E313&lt;&gt;"",'Raw Data'!E313,IFERROR(INDEX('Reference Table'!$B$2:$B$32,MATCH(D313,'Reference Table'!$A$2:$A$32,0)),""))</f>
        <v>40</v>
      </c>
      <c r="F313">
        <f>IF('Raw Data'!F313&lt;&gt;"",'Raw Data'!F313,IFERROR(ROUND('Raw Data'!G313/E313,0),""))</f>
        <v>5</v>
      </c>
      <c r="G313">
        <f>IF('Raw Data'!G313&lt;&gt;"",'Raw Data'!G313,IFERROR(ROUND(E313*F313,2),""))</f>
        <v>200</v>
      </c>
      <c r="H313" t="str">
        <f>'Raw Data'!H313</f>
        <v>Cash</v>
      </c>
      <c r="I313" t="str">
        <f>IF('Raw Data'!D313="",IF(D313="Unknown","Could not recover","Filled from Price lookup"),IF(TRIM('Raw Data'!D313)&lt;&gt;'Raw Data'!D313,"Trimmed whitespace","OK"))</f>
        <v>OK</v>
      </c>
      <c r="J313" t="str">
        <f t="shared" si="4"/>
        <v>OK</v>
      </c>
    </row>
    <row r="314" spans="1:10">
      <c r="A314" t="str">
        <f>'Raw Data'!A314</f>
        <v>TXN_1146</v>
      </c>
      <c r="B314" s="1">
        <f>'Raw Data'!B314</f>
        <v>45704</v>
      </c>
      <c r="C314" t="str">
        <f>IFERROR(INDEX('Reference Table'!$C$2:$C$46,MATCH(D314,'Reference Table'!$A$2:$A$46,0)),"Unknown")</f>
        <v>Computers</v>
      </c>
      <c r="D314" t="str">
        <f t="array" ref="D314">IF(TRIM('Raw Data'!D314)&lt;&gt;"",TRIM('Raw Data'!D314),IFERROR(INDEX('Reference Table'!$A$2:$A$46,MATCH(VALUE('Raw Data'!E314),VALUE('Reference Table'!$B$2:$B$46),0)),"Unknown"))</f>
        <v>Comp_Keyboard</v>
      </c>
      <c r="E314">
        <f>IF('Raw Data'!E314&lt;&gt;"",'Raw Data'!E314,IFERROR(INDEX('Reference Table'!$B$2:$B$32,MATCH(D314,'Reference Table'!$A$2:$A$32,0)),""))</f>
        <v>800</v>
      </c>
      <c r="F314">
        <f>IF('Raw Data'!F314&lt;&gt;"",'Raw Data'!F314,IFERROR(ROUND('Raw Data'!G314/E314,0),""))</f>
        <v>3</v>
      </c>
      <c r="G314">
        <f>IF('Raw Data'!G314&lt;&gt;"",'Raw Data'!G314,IFERROR(ROUND(E314*F314,2),""))</f>
        <v>2400</v>
      </c>
      <c r="H314" t="str">
        <f>'Raw Data'!H314</f>
        <v>Mobile Payment</v>
      </c>
      <c r="I314" t="str">
        <f>IF('Raw Data'!D314="",IF(D314="Unknown","Could not recover","Filled from Price lookup"),IF(TRIM('Raw Data'!D314)&lt;&gt;'Raw Data'!D314,"Trimmed whitespace","OK"))</f>
        <v>OK</v>
      </c>
      <c r="J314" t="str">
        <f t="shared" si="4"/>
        <v>OK</v>
      </c>
    </row>
    <row r="315" spans="1:10">
      <c r="A315" t="str">
        <f>'Raw Data'!A315</f>
        <v>TXN_1259</v>
      </c>
      <c r="B315" s="1">
        <f>'Raw Data'!B315</f>
        <v>45786</v>
      </c>
      <c r="C315" t="str">
        <f>IFERROR(INDEX('Reference Table'!$C$2:$C$46,MATCH(D315,'Reference Table'!$A$2:$A$46,0)),"Unknown")</f>
        <v>Food</v>
      </c>
      <c r="D315" t="str">
        <f t="array" ref="D315">IF(TRIM('Raw Data'!D315)&lt;&gt;"",TRIM('Raw Data'!D315),IFERROR(INDEX('Reference Table'!$A$2:$A$46,MATCH(VALUE('Raw Data'!E315),VALUE('Reference Table'!$B$2:$B$46),0)),"Unknown"))</f>
        <v>Food_Wheat_1kg</v>
      </c>
      <c r="E315">
        <f>IF('Raw Data'!E315&lt;&gt;"",'Raw Data'!E315,IFERROR(INDEX('Reference Table'!$B$2:$B$32,MATCH(D315,'Reference Table'!$A$2:$A$32,0)),""))</f>
        <v>55</v>
      </c>
      <c r="F315">
        <f>IF('Raw Data'!F315&lt;&gt;"",'Raw Data'!F315,IFERROR(ROUND('Raw Data'!G315/E315,0),""))</f>
        <v>4</v>
      </c>
      <c r="G315">
        <f>IF('Raw Data'!G315&lt;&gt;"",'Raw Data'!G315,IFERROR(ROUND(E315*F315,2),""))</f>
        <v>220</v>
      </c>
      <c r="H315" t="str">
        <f>'Raw Data'!H315</f>
        <v>Credit Card</v>
      </c>
      <c r="I315" t="str">
        <f>IF('Raw Data'!D315="",IF(D315="Unknown","Could not recover","Filled from Price lookup"),IF(TRIM('Raw Data'!D315)&lt;&gt;'Raw Data'!D315,"Trimmed whitespace","OK"))</f>
        <v>OK</v>
      </c>
      <c r="J315" t="str">
        <f t="shared" si="4"/>
        <v>OK</v>
      </c>
    </row>
    <row r="316" spans="1:10">
      <c r="A316" t="str">
        <f>'Raw Data'!A316</f>
        <v>TXN_1108</v>
      </c>
      <c r="B316" s="1">
        <f>'Raw Data'!B316</f>
        <v>45692</v>
      </c>
      <c r="C316" t="str">
        <f>IFERROR(INDEX('Reference Table'!$C$2:$C$46,MATCH(D316,'Reference Table'!$A$2:$A$46,0)),"Unknown")</f>
        <v>Food</v>
      </c>
      <c r="D316" t="str">
        <f t="array" ref="D316">IF(TRIM('Raw Data'!D316)&lt;&gt;"",TRIM('Raw Data'!D316),IFERROR(INDEX('Reference Table'!$A$2:$A$46,MATCH(VALUE('Raw Data'!E316),VALUE('Reference Table'!$B$2:$B$46),0)),"Unknown"))</f>
        <v>Food_Pasta_500g</v>
      </c>
      <c r="E316">
        <f>IF('Raw Data'!E316&lt;&gt;"",'Raw Data'!E316,IFERROR(INDEX('Reference Table'!$B$2:$B$32,MATCH(D316,'Reference Table'!$A$2:$A$32,0)),""))</f>
        <v>65</v>
      </c>
      <c r="F316">
        <f>IF('Raw Data'!F316&lt;&gt;"",'Raw Data'!F316,IFERROR(ROUND('Raw Data'!G316/E316,0),""))</f>
        <v>4</v>
      </c>
      <c r="G316">
        <f>IF('Raw Data'!G316&lt;&gt;"",'Raw Data'!G316,IFERROR(ROUND(E316*F316,2),""))</f>
        <v>260</v>
      </c>
      <c r="H316" t="str">
        <f>'Raw Data'!H316</f>
        <v>Mobile Payment</v>
      </c>
      <c r="I316" t="str">
        <f>IF('Raw Data'!D316="",IF(D316="Unknown","Could not recover","Filled from Price lookup"),IF(TRIM('Raw Data'!D316)&lt;&gt;'Raw Data'!D316,"Trimmed whitespace","OK"))</f>
        <v>OK</v>
      </c>
      <c r="J316" t="str">
        <f t="shared" si="4"/>
        <v>OK</v>
      </c>
    </row>
    <row r="317" spans="1:10">
      <c r="A317" t="str">
        <f>'Raw Data'!A317</f>
        <v>TXN_1030</v>
      </c>
      <c r="B317" s="1">
        <f>'Raw Data'!B317</f>
        <v>45891</v>
      </c>
      <c r="C317" t="str">
        <f>IFERROR(INDEX('Reference Table'!$C$2:$C$46,MATCH(D317,'Reference Table'!$A$2:$A$46,0)),"Unknown")</f>
        <v>Milk Products</v>
      </c>
      <c r="D317" t="str">
        <f t="array" ref="D317">IF(TRIM('Raw Data'!D317)&lt;&gt;"",TRIM('Raw Data'!D317),IFERROR(INDEX('Reference Table'!$A$2:$A$46,MATCH(VALUE('Raw Data'!E317),VALUE('Reference Table'!$B$2:$B$46),0)),"Unknown"))</f>
        <v>Milk_Butter_500g</v>
      </c>
      <c r="E317">
        <f>IF('Raw Data'!E317&lt;&gt;"",'Raw Data'!E317,IFERROR(INDEX('Reference Table'!$B$2:$B$32,MATCH(D317,'Reference Table'!$A$2:$A$32,0)),""))</f>
        <v>250</v>
      </c>
      <c r="F317">
        <f>IF('Raw Data'!F317&lt;&gt;"",'Raw Data'!F317,IFERROR(ROUND('Raw Data'!G317/E317,0),""))</f>
        <v>5</v>
      </c>
      <c r="G317">
        <f>IF('Raw Data'!G317&lt;&gt;"",'Raw Data'!G317,IFERROR(ROUND(E317*F317,2),""))</f>
        <v>1250</v>
      </c>
      <c r="H317" t="str">
        <f>'Raw Data'!H317</f>
        <v>Cash</v>
      </c>
      <c r="I317" t="str">
        <f>IF('Raw Data'!D317="",IF(D317="Unknown","Could not recover","Filled from Price lookup"),IF(TRIM('Raw Data'!D317)&lt;&gt;'Raw Data'!D317,"Trimmed whitespace","OK"))</f>
        <v>OK</v>
      </c>
      <c r="J317" t="str">
        <f t="shared" si="4"/>
        <v>OK</v>
      </c>
    </row>
    <row r="318" spans="1:10">
      <c r="A318" t="str">
        <f>'Raw Data'!A318</f>
        <v>TXN_1020</v>
      </c>
      <c r="B318" s="1">
        <f>'Raw Data'!B318</f>
        <v>45775</v>
      </c>
      <c r="C318" t="str">
        <f>IFERROR(INDEX('Reference Table'!$C$2:$C$46,MATCH(D318,'Reference Table'!$A$2:$A$46,0)),"Unknown")</f>
        <v>Electric Accessories</v>
      </c>
      <c r="D318" t="str">
        <f t="array" ref="D318">IF(TRIM('Raw Data'!D318)&lt;&gt;"",TRIM('Raw Data'!D318),IFERROR(INDEX('Reference Table'!$A$2:$A$46,MATCH(VALUE('Raw Data'!E318),VALUE('Reference Table'!$B$2:$B$46),0)),"Unknown"))</f>
        <v>Elec_Cable_USB</v>
      </c>
      <c r="E318">
        <f>IF('Raw Data'!E318&lt;&gt;"",'Raw Data'!E318,IFERROR(INDEX('Reference Table'!$B$2:$B$32,MATCH(D318,'Reference Table'!$A$2:$A$32,0)),""))</f>
        <v>150</v>
      </c>
      <c r="F318">
        <f>IF('Raw Data'!F318&lt;&gt;"",'Raw Data'!F318,IFERROR(ROUND('Raw Data'!G318/E318,0),""))</f>
        <v>6</v>
      </c>
      <c r="G318">
        <f>IF('Raw Data'!G318&lt;&gt;"",'Raw Data'!G318,IFERROR(ROUND(E318*F318,2),""))</f>
        <v>900</v>
      </c>
      <c r="H318" t="str">
        <f>'Raw Data'!H318</f>
        <v>Credit Card</v>
      </c>
      <c r="I318" t="str">
        <f>IF('Raw Data'!D318="",IF(D318="Unknown","Could not recover","Filled from Price lookup"),IF(TRIM('Raw Data'!D318)&lt;&gt;'Raw Data'!D318,"Trimmed whitespace","OK"))</f>
        <v>OK</v>
      </c>
      <c r="J318" t="str">
        <f t="shared" si="4"/>
        <v>OK</v>
      </c>
    </row>
    <row r="319" spans="1:10">
      <c r="A319" t="str">
        <f>'Raw Data'!A319</f>
        <v>TXN_1110</v>
      </c>
      <c r="B319" s="1">
        <f>'Raw Data'!B319</f>
        <v>45870</v>
      </c>
      <c r="C319" t="str">
        <f>IFERROR(INDEX('Reference Table'!$C$2:$C$46,MATCH(D319,'Reference Table'!$A$2:$A$46,0)),"Unknown")</f>
        <v>Computers</v>
      </c>
      <c r="D319" t="str">
        <f t="array" ref="D319">IF(TRIM('Raw Data'!D319)&lt;&gt;"",TRIM('Raw Data'!D319),IFERROR(INDEX('Reference Table'!$A$2:$A$46,MATCH(VALUE('Raw Data'!E319),VALUE('Reference Table'!$B$2:$B$46),0)),"Unknown"))</f>
        <v>Comp_USB_Drive_32GB</v>
      </c>
      <c r="E319">
        <f>IF('Raw Data'!E319&lt;&gt;"",'Raw Data'!E319,IFERROR(INDEX('Reference Table'!$B$2:$B$32,MATCH(D319,'Reference Table'!$A$2:$A$32,0)),""))</f>
        <v>450</v>
      </c>
      <c r="F319">
        <f>IF('Raw Data'!F319&lt;&gt;"",'Raw Data'!F319,IFERROR(ROUND('Raw Data'!G319/E319,0),""))</f>
        <v>4</v>
      </c>
      <c r="G319">
        <f>IF('Raw Data'!G319&lt;&gt;"",'Raw Data'!G319,IFERROR(ROUND(E319*F319,2),""))</f>
        <v>1800</v>
      </c>
      <c r="H319" t="str">
        <f>'Raw Data'!H319</f>
        <v>Mobile Payment</v>
      </c>
      <c r="I319" t="str">
        <f>IF('Raw Data'!D319="",IF(D319="Unknown","Could not recover","Filled from Price lookup"),IF(TRIM('Raw Data'!D319)&lt;&gt;'Raw Data'!D319,"Trimmed whitespace","OK"))</f>
        <v>OK</v>
      </c>
      <c r="J319" t="str">
        <f t="shared" si="4"/>
        <v>OK</v>
      </c>
    </row>
    <row r="320" spans="1:10">
      <c r="A320" t="str">
        <f>'Raw Data'!A320</f>
        <v>TXN_1134</v>
      </c>
      <c r="B320" s="1">
        <f>'Raw Data'!B320</f>
        <v>45685</v>
      </c>
      <c r="C320" t="str">
        <f>IFERROR(INDEX('Reference Table'!$C$2:$C$46,MATCH(D320,'Reference Table'!$A$2:$A$46,0)),"Unknown")</f>
        <v>Milk Products</v>
      </c>
      <c r="D320" t="str">
        <f t="array" ref="D320">IF(TRIM('Raw Data'!D320)&lt;&gt;"",TRIM('Raw Data'!D320),IFERROR(INDEX('Reference Table'!$A$2:$A$46,MATCH(VALUE('Raw Data'!E320),VALUE('Reference Table'!$B$2:$B$46),0)),"Unknown"))</f>
        <v>Milk_Cheese_200g</v>
      </c>
      <c r="E320">
        <f>IF('Raw Data'!E320&lt;&gt;"",'Raw Data'!E320,IFERROR(INDEX('Reference Table'!$B$2:$B$32,MATCH(D320,'Reference Table'!$A$2:$A$32,0)),""))</f>
        <v>110</v>
      </c>
      <c r="F320">
        <f>IF('Raw Data'!F320&lt;&gt;"",'Raw Data'!F320,IFERROR(ROUND('Raw Data'!G320/E320,0),""))</f>
        <v>3</v>
      </c>
      <c r="G320">
        <f>IF('Raw Data'!G320&lt;&gt;"",'Raw Data'!G320,IFERROR(ROUND(E320*F320,2),""))</f>
        <v>330</v>
      </c>
      <c r="H320" t="str">
        <f>'Raw Data'!H320</f>
        <v>Cash</v>
      </c>
      <c r="I320" t="str">
        <f>IF('Raw Data'!D320="",IF(D320="Unknown","Could not recover","Filled from Price lookup"),IF(TRIM('Raw Data'!D320)&lt;&gt;'Raw Data'!D320,"Trimmed whitespace","OK"))</f>
        <v>OK</v>
      </c>
      <c r="J320" t="str">
        <f t="shared" si="4"/>
        <v>OK</v>
      </c>
    </row>
    <row r="321" spans="1:10">
      <c r="A321" t="str">
        <f>'Raw Data'!A321</f>
        <v>TXN_1007</v>
      </c>
      <c r="B321" s="1">
        <f>'Raw Data'!B321</f>
        <v>45749</v>
      </c>
      <c r="C321" t="str">
        <f>IFERROR(INDEX('Reference Table'!$C$2:$C$46,MATCH(D321,'Reference Table'!$A$2:$A$46,0)),"Unknown")</f>
        <v>Butchers</v>
      </c>
      <c r="D321" t="str">
        <f t="array" ref="D321">IF(TRIM('Raw Data'!D321)&lt;&gt;"",TRIM('Raw Data'!D321),IFERROR(INDEX('Reference Table'!$A$2:$A$46,MATCH(VALUE('Raw Data'!E321),VALUE('Reference Table'!$B$2:$B$46),0)),"Unknown"))</f>
        <v>Meat_Bacon_250g</v>
      </c>
      <c r="E321">
        <f>IF('Raw Data'!E321&lt;&gt;"",'Raw Data'!E321,IFERROR(INDEX('Reference Table'!$B$2:$B$32,MATCH(D321,'Reference Table'!$A$2:$A$32,0)),""))</f>
        <v>190</v>
      </c>
      <c r="F321">
        <f>IF('Raw Data'!F321&lt;&gt;"",'Raw Data'!F321,IFERROR(ROUND('Raw Data'!G321/E321,0),""))</f>
        <v>1</v>
      </c>
      <c r="G321">
        <f>IF('Raw Data'!G321&lt;&gt;"",'Raw Data'!G321,IFERROR(ROUND(E321*F321,2),""))</f>
        <v>190</v>
      </c>
      <c r="H321" t="str">
        <f>'Raw Data'!H321</f>
        <v>Debit Card</v>
      </c>
      <c r="I321" t="str">
        <f>IF('Raw Data'!D321="",IF(D321="Unknown","Could not recover","Filled from Price lookup"),IF(TRIM('Raw Data'!D321)&lt;&gt;'Raw Data'!D321,"Trimmed whitespace","OK"))</f>
        <v>OK</v>
      </c>
      <c r="J321" t="str">
        <f t="shared" si="4"/>
        <v>OK</v>
      </c>
    </row>
    <row r="322" spans="1:10">
      <c r="A322" t="str">
        <f>'Raw Data'!A322</f>
        <v>TXN_1034</v>
      </c>
      <c r="B322" s="1">
        <f>'Raw Data'!B322</f>
        <v>45672</v>
      </c>
      <c r="C322" t="str">
        <f>IFERROR(INDEX('Reference Table'!$C$2:$C$46,MATCH(D322,'Reference Table'!$A$2:$A$46,0)),"Unknown")</f>
        <v>Patisserie</v>
      </c>
      <c r="D322" t="str">
        <f t="array" ref="D322">IF(TRIM('Raw Data'!D322)&lt;&gt;"",TRIM('Raw Data'!D322),IFERROR(INDEX('Reference Table'!$A$2:$A$46,MATCH(VALUE('Raw Data'!E322),VALUE('Reference Table'!$B$2:$B$46),0)),"Unknown"))</f>
        <v>Pat_Cookie_Pack</v>
      </c>
      <c r="E322">
        <f>IF('Raw Data'!E322&lt;&gt;"",'Raw Data'!E322,IFERROR(INDEX('Reference Table'!$B$2:$B$32,MATCH(D322,'Reference Table'!$A$2:$A$32,0)),""))</f>
        <v>55</v>
      </c>
      <c r="F322">
        <f>IF('Raw Data'!F322&lt;&gt;"",'Raw Data'!F322,IFERROR(ROUND('Raw Data'!G322/E322,0),""))</f>
        <v>2</v>
      </c>
      <c r="G322">
        <f>IF('Raw Data'!G322&lt;&gt;"",'Raw Data'!G322,IFERROR(ROUND(E322*F322,2),""))</f>
        <v>110</v>
      </c>
      <c r="H322" t="str">
        <f>'Raw Data'!H322</f>
        <v>Credit Card</v>
      </c>
      <c r="I322" t="str">
        <f>IF('Raw Data'!D322="",IF(D322="Unknown","Could not recover","Filled from Price lookup"),IF(TRIM('Raw Data'!D322)&lt;&gt;'Raw Data'!D322,"Trimmed whitespace","OK"))</f>
        <v>OK</v>
      </c>
      <c r="J322" t="str">
        <f t="shared" si="4"/>
        <v>OK</v>
      </c>
    </row>
    <row r="323" spans="1:10">
      <c r="A323" t="str">
        <f>'Raw Data'!A323</f>
        <v>TXN_1300</v>
      </c>
      <c r="B323" s="1">
        <f>'Raw Data'!B323</f>
        <v>45848</v>
      </c>
      <c r="C323" t="str">
        <f>IFERROR(INDEX('Reference Table'!$C$2:$C$46,MATCH(D323,'Reference Table'!$A$2:$A$46,0)),"Unknown")</f>
        <v>Electric Accessories</v>
      </c>
      <c r="D323" t="str">
        <f t="array" ref="D323">IF(TRIM('Raw Data'!D323)&lt;&gt;"",TRIM('Raw Data'!D323),IFERROR(INDEX('Reference Table'!$A$2:$A$46,MATCH(VALUE('Raw Data'!E323),VALUE('Reference Table'!$B$2:$B$46),0)),"Unknown"))</f>
        <v>Elec_Cable_USB</v>
      </c>
      <c r="E323">
        <f>IF('Raw Data'!E323&lt;&gt;"",'Raw Data'!E323,IFERROR(INDEX('Reference Table'!$B$2:$B$32,MATCH(D323,'Reference Table'!$A$2:$A$32,0)),""))</f>
        <v>150</v>
      </c>
      <c r="F323">
        <f>IF('Raw Data'!F323&lt;&gt;"",'Raw Data'!F323,IFERROR(ROUND('Raw Data'!G323/E323,0),""))</f>
        <v>3</v>
      </c>
      <c r="G323">
        <f>IF('Raw Data'!G323&lt;&gt;"",'Raw Data'!G323,IFERROR(ROUND(E323*F323,2),""))</f>
        <v>450</v>
      </c>
      <c r="H323" t="str">
        <f>'Raw Data'!H323</f>
        <v>Debit Card</v>
      </c>
      <c r="I323" t="str">
        <f>IF('Raw Data'!D323="",IF(D323="Unknown","Could not recover","Filled from Price lookup"),IF(TRIM('Raw Data'!D323)&lt;&gt;'Raw Data'!D323,"Trimmed whitespace","OK"))</f>
        <v>OK</v>
      </c>
      <c r="J323" t="str">
        <f t="shared" ref="J323:J386" si="5">IF(AND(E323&lt;&gt;"",F323&lt;&gt;"",G323&lt;&gt;""),IF(ROUND(E323*F323,2)=ROUND(G323,2),"OK","Mismatch"),"Incomplete")</f>
        <v>OK</v>
      </c>
    </row>
    <row r="324" spans="1:10">
      <c r="A324" t="str">
        <f>'Raw Data'!A324</f>
        <v>TXN_1476</v>
      </c>
      <c r="B324" s="1">
        <f>'Raw Data'!B324</f>
        <v>45865</v>
      </c>
      <c r="C324" t="str">
        <f>IFERROR(INDEX('Reference Table'!$C$2:$C$46,MATCH(D324,'Reference Table'!$A$2:$A$46,0)),"Unknown")</f>
        <v>Computers</v>
      </c>
      <c r="D324" t="str">
        <f t="array" ref="D324">IF(TRIM('Raw Data'!D324)&lt;&gt;"",TRIM('Raw Data'!D324),IFERROR(INDEX('Reference Table'!$A$2:$A$46,MATCH(VALUE('Raw Data'!E324),VALUE('Reference Table'!$B$2:$B$46),0)),"Unknown"))</f>
        <v>Comp_USB_Drive_32GB</v>
      </c>
      <c r="E324">
        <f>IF('Raw Data'!E324&lt;&gt;"",'Raw Data'!E324,IFERROR(INDEX('Reference Table'!$B$2:$B$32,MATCH(D324,'Reference Table'!$A$2:$A$32,0)),""))</f>
        <v>450</v>
      </c>
      <c r="F324">
        <f>IF('Raw Data'!F324&lt;&gt;"",'Raw Data'!F324,IFERROR(ROUND('Raw Data'!G324/E324,0),""))</f>
        <v>4</v>
      </c>
      <c r="G324">
        <f>IF('Raw Data'!G324&lt;&gt;"",'Raw Data'!G324,IFERROR(ROUND(E324*F324,2),""))</f>
        <v>1800</v>
      </c>
      <c r="H324" t="str">
        <f>'Raw Data'!H324</f>
        <v>Cash</v>
      </c>
      <c r="I324" t="str">
        <f>IF('Raw Data'!D324="",IF(D324="Unknown","Could not recover","Filled from Price lookup"),IF(TRIM('Raw Data'!D324)&lt;&gt;'Raw Data'!D324,"Trimmed whitespace","OK"))</f>
        <v>OK</v>
      </c>
      <c r="J324" t="str">
        <f t="shared" si="5"/>
        <v>OK</v>
      </c>
    </row>
    <row r="325" spans="1:10">
      <c r="A325" t="str">
        <f>'Raw Data'!A325</f>
        <v>TXN_1037</v>
      </c>
      <c r="B325" s="1">
        <f>'Raw Data'!B325</f>
        <v>45793</v>
      </c>
      <c r="C325" t="str">
        <f>IFERROR(INDEX('Reference Table'!$C$2:$C$46,MATCH(D325,'Reference Table'!$A$2:$A$46,0)),"Unknown")</f>
        <v>Milk Products</v>
      </c>
      <c r="D325" t="str">
        <f t="array" ref="D325">IF(TRIM('Raw Data'!D325)&lt;&gt;"",TRIM('Raw Data'!D325),IFERROR(INDEX('Reference Table'!$A$2:$A$46,MATCH(VALUE('Raw Data'!E325),VALUE('Reference Table'!$B$2:$B$46),0)),"Unknown"))</f>
        <v>Milk_Cheese_200g</v>
      </c>
      <c r="E325">
        <f>IF('Raw Data'!E325&lt;&gt;"",'Raw Data'!E325,IFERROR(INDEX('Reference Table'!$B$2:$B$32,MATCH(D325,'Reference Table'!$A$2:$A$32,0)),""))</f>
        <v>110</v>
      </c>
      <c r="F325">
        <f>IF('Raw Data'!F325&lt;&gt;"",'Raw Data'!F325,IFERROR(ROUND('Raw Data'!G325/E325,0),""))</f>
        <v>3</v>
      </c>
      <c r="G325">
        <f>IF('Raw Data'!G325&lt;&gt;"",'Raw Data'!G325,IFERROR(ROUND(E325*F325,2),""))</f>
        <v>330</v>
      </c>
      <c r="H325" t="str">
        <f>'Raw Data'!H325</f>
        <v>Mobile Payment</v>
      </c>
      <c r="I325" t="str">
        <f>IF('Raw Data'!D325="",IF(D325="Unknown","Could not recover","Filled from Price lookup"),IF(TRIM('Raw Data'!D325)&lt;&gt;'Raw Data'!D325,"Trimmed whitespace","OK"))</f>
        <v>OK</v>
      </c>
      <c r="J325" t="str">
        <f t="shared" si="5"/>
        <v>OK</v>
      </c>
    </row>
    <row r="326" spans="1:10">
      <c r="A326" t="str">
        <f>'Raw Data'!A326</f>
        <v>TXN_1241</v>
      </c>
      <c r="B326" s="1">
        <f>'Raw Data'!B326</f>
        <v>45784</v>
      </c>
      <c r="C326" t="str">
        <f>IFERROR(INDEX('Reference Table'!$C$2:$C$46,MATCH(D326,'Reference Table'!$A$2:$A$46,0)),"Unknown")</f>
        <v>Beverages</v>
      </c>
      <c r="D326" t="str">
        <f t="array" ref="D326">IF(TRIM('Raw Data'!D326)&lt;&gt;"",TRIM('Raw Data'!D326),IFERROR(INDEX('Reference Table'!$A$2:$A$46,MATCH(VALUE('Raw Data'!E326),VALUE('Reference Table'!$B$2:$B$46),0)),"Unknown"))</f>
        <v>Bev_Water_1L</v>
      </c>
      <c r="E326">
        <f>IF('Raw Data'!E326&lt;&gt;"",'Raw Data'!E326,IFERROR(INDEX('Reference Table'!$B$2:$B$32,MATCH(D326,'Reference Table'!$A$2:$A$32,0)),""))</f>
        <v>20</v>
      </c>
      <c r="F326">
        <f>IF('Raw Data'!F326&lt;&gt;"",'Raw Data'!F326,IFERROR(ROUND('Raw Data'!G326/E326,0),""))</f>
        <v>3</v>
      </c>
      <c r="G326">
        <f>IF('Raw Data'!G326&lt;&gt;"",'Raw Data'!G326,IFERROR(ROUND(E326*F326,2),""))</f>
        <v>60</v>
      </c>
      <c r="H326" t="str">
        <f>'Raw Data'!H326</f>
        <v>Cash</v>
      </c>
      <c r="I326" t="str">
        <f>IF('Raw Data'!D326="",IF(D326="Unknown","Could not recover","Filled from Price lookup"),IF(TRIM('Raw Data'!D326)&lt;&gt;'Raw Data'!D326,"Trimmed whitespace","OK"))</f>
        <v>Filled from Price lookup</v>
      </c>
      <c r="J326" t="str">
        <f t="shared" si="5"/>
        <v>OK</v>
      </c>
    </row>
    <row r="327" spans="1:10">
      <c r="A327" t="str">
        <f>'Raw Data'!A327</f>
        <v>TXN_1088</v>
      </c>
      <c r="B327" s="1">
        <f>'Raw Data'!B327</f>
        <v>45703</v>
      </c>
      <c r="C327" t="str">
        <f>IFERROR(INDEX('Reference Table'!$C$2:$C$46,MATCH(D327,'Reference Table'!$A$2:$A$46,0)),"Unknown")</f>
        <v>Food</v>
      </c>
      <c r="D327" t="str">
        <f t="array" ref="D327">IF(TRIM('Raw Data'!D327)&lt;&gt;"",TRIM('Raw Data'!D327),IFERROR(INDEX('Reference Table'!$A$2:$A$46,MATCH(VALUE('Raw Data'!E327),VALUE('Reference Table'!$B$2:$B$46),0)),"Unknown"))</f>
        <v>Food_Pasta_500g</v>
      </c>
      <c r="E327">
        <f>IF('Raw Data'!E327&lt;&gt;"",'Raw Data'!E327,IFERROR(INDEX('Reference Table'!$B$2:$B$32,MATCH(D327,'Reference Table'!$A$2:$A$32,0)),""))</f>
        <v>65</v>
      </c>
      <c r="F327">
        <f>IF('Raw Data'!F327&lt;&gt;"",'Raw Data'!F327,IFERROR(ROUND('Raw Data'!G327/E327,0),""))</f>
        <v>3</v>
      </c>
      <c r="G327">
        <f>IF('Raw Data'!G327&lt;&gt;"",'Raw Data'!G327,IFERROR(ROUND(E327*F327,2),""))</f>
        <v>195</v>
      </c>
      <c r="H327" t="str">
        <f>'Raw Data'!H327</f>
        <v>Debit Card</v>
      </c>
      <c r="I327" t="str">
        <f>IF('Raw Data'!D327="",IF(D327="Unknown","Could not recover","Filled from Price lookup"),IF(TRIM('Raw Data'!D327)&lt;&gt;'Raw Data'!D327,"Trimmed whitespace","OK"))</f>
        <v>Filled from Price lookup</v>
      </c>
      <c r="J327" t="str">
        <f t="shared" si="5"/>
        <v>OK</v>
      </c>
    </row>
    <row r="328" spans="1:10">
      <c r="A328" t="str">
        <f>'Raw Data'!A328</f>
        <v>TXN_1279</v>
      </c>
      <c r="B328" s="1">
        <f>'Raw Data'!B328</f>
        <v>45704</v>
      </c>
      <c r="C328" t="str">
        <f>IFERROR(INDEX('Reference Table'!$C$2:$C$46,MATCH(D328,'Reference Table'!$A$2:$A$46,0)),"Unknown")</f>
        <v>Patisserie</v>
      </c>
      <c r="D328" t="str">
        <f t="array" ref="D328">IF(TRIM('Raw Data'!D328)&lt;&gt;"",TRIM('Raw Data'!D328),IFERROR(INDEX('Reference Table'!$A$2:$A$46,MATCH(VALUE('Raw Data'!E328),VALUE('Reference Table'!$B$2:$B$46),0)),"Unknown"))</f>
        <v>Pat_Donut</v>
      </c>
      <c r="E328">
        <f>IF('Raw Data'!E328&lt;&gt;"",'Raw Data'!E328,IFERROR(INDEX('Reference Table'!$B$2:$B$32,MATCH(D328,'Reference Table'!$A$2:$A$32,0)),""))</f>
        <v>30</v>
      </c>
      <c r="F328">
        <f>IF('Raw Data'!F328&lt;&gt;"",'Raw Data'!F328,IFERROR(ROUND('Raw Data'!G328/E328,0),""))</f>
        <v>1</v>
      </c>
      <c r="G328">
        <f>IF('Raw Data'!G328&lt;&gt;"",'Raw Data'!G328,IFERROR(ROUND(E328*F328,2),""))</f>
        <v>30</v>
      </c>
      <c r="H328" t="str">
        <f>'Raw Data'!H328</f>
        <v>Debit Card</v>
      </c>
      <c r="I328" t="str">
        <f>IF('Raw Data'!D328="",IF(D328="Unknown","Could not recover","Filled from Price lookup"),IF(TRIM('Raw Data'!D328)&lt;&gt;'Raw Data'!D328,"Trimmed whitespace","OK"))</f>
        <v>OK</v>
      </c>
      <c r="J328" t="str">
        <f t="shared" si="5"/>
        <v>OK</v>
      </c>
    </row>
    <row r="329" spans="1:10">
      <c r="A329" t="str">
        <f>'Raw Data'!A329</f>
        <v>TXN_1187</v>
      </c>
      <c r="B329" s="1">
        <f>'Raw Data'!B329</f>
        <v>45774</v>
      </c>
      <c r="C329" t="str">
        <f>IFERROR(INDEX('Reference Table'!$C$2:$C$46,MATCH(D329,'Reference Table'!$A$2:$A$46,0)),"Unknown")</f>
        <v>Furniture</v>
      </c>
      <c r="D329" t="str">
        <f t="array" ref="D329">IF(TRIM('Raw Data'!D329)&lt;&gt;"",TRIM('Raw Data'!D329),IFERROR(INDEX('Reference Table'!$A$2:$A$46,MATCH(VALUE('Raw Data'!E329),VALUE('Reference Table'!$B$2:$B$46),0)),"Unknown"))</f>
        <v>Furn_Chair</v>
      </c>
      <c r="E329">
        <f>IF('Raw Data'!E329&lt;&gt;"",'Raw Data'!E329,IFERROR(INDEX('Reference Table'!$B$2:$B$32,MATCH(D329,'Reference Table'!$A$2:$A$32,0)),""))</f>
        <v>2500</v>
      </c>
      <c r="F329">
        <f>IF('Raw Data'!F329&lt;&gt;"",'Raw Data'!F329,IFERROR(ROUND('Raw Data'!G329/E329,0),""))</f>
        <v>1</v>
      </c>
      <c r="G329">
        <f>IF('Raw Data'!G329&lt;&gt;"",'Raw Data'!G329,IFERROR(ROUND(E329*F329,2),""))</f>
        <v>2500</v>
      </c>
      <c r="H329" t="str">
        <f>'Raw Data'!H329</f>
        <v>Cash</v>
      </c>
      <c r="I329" t="str">
        <f>IF('Raw Data'!D329="",IF(D329="Unknown","Could not recover","Filled from Price lookup"),IF(TRIM('Raw Data'!D329)&lt;&gt;'Raw Data'!D329,"Trimmed whitespace","OK"))</f>
        <v>OK</v>
      </c>
      <c r="J329" t="str">
        <f t="shared" si="5"/>
        <v>OK</v>
      </c>
    </row>
    <row r="330" spans="1:10">
      <c r="A330" t="str">
        <f>'Raw Data'!A330</f>
        <v>TXN_1215</v>
      </c>
      <c r="B330" s="1">
        <f>'Raw Data'!B330</f>
        <v>45753</v>
      </c>
      <c r="C330" t="str">
        <f>IFERROR(INDEX('Reference Table'!$C$2:$C$46,MATCH(D330,'Reference Table'!$A$2:$A$46,0)),"Unknown")</f>
        <v>Patisserie</v>
      </c>
      <c r="D330" t="str">
        <f t="array" ref="D330">IF(TRIM('Raw Data'!D330)&lt;&gt;"",TRIM('Raw Data'!D330),IFERROR(INDEX('Reference Table'!$A$2:$A$46,MATCH(VALUE('Raw Data'!E330),VALUE('Reference Table'!$B$2:$B$46),0)),"Unknown"))</f>
        <v>Pat_Cake_Slice</v>
      </c>
      <c r="E330">
        <f>IF('Raw Data'!E330&lt;&gt;"",'Raw Data'!E330,IFERROR(INDEX('Reference Table'!$B$2:$B$32,MATCH(D330,'Reference Table'!$A$2:$A$32,0)),""))</f>
        <v>90</v>
      </c>
      <c r="F330">
        <f>IF('Raw Data'!F330&lt;&gt;"",'Raw Data'!F330,IFERROR(ROUND('Raw Data'!G330/E330,0),""))</f>
        <v>3</v>
      </c>
      <c r="G330">
        <f>IF('Raw Data'!G330&lt;&gt;"",'Raw Data'!G330,IFERROR(ROUND(E330*F330,2),""))</f>
        <v>270</v>
      </c>
      <c r="H330" t="str">
        <f>'Raw Data'!H330</f>
        <v>Mobile Payment</v>
      </c>
      <c r="I330" t="str">
        <f>IF('Raw Data'!D330="",IF(D330="Unknown","Could not recover","Filled from Price lookup"),IF(TRIM('Raw Data'!D330)&lt;&gt;'Raw Data'!D330,"Trimmed whitespace","OK"))</f>
        <v>OK</v>
      </c>
      <c r="J330" t="str">
        <f t="shared" si="5"/>
        <v>OK</v>
      </c>
    </row>
    <row r="331" spans="1:10">
      <c r="A331" t="str">
        <f>'Raw Data'!A331</f>
        <v>TXN_1291</v>
      </c>
      <c r="B331" s="1">
        <f>'Raw Data'!B331</f>
        <v>45853</v>
      </c>
      <c r="C331" t="str">
        <f>IFERROR(INDEX('Reference Table'!$C$2:$C$46,MATCH(D331,'Reference Table'!$A$2:$A$46,0)),"Unknown")</f>
        <v>Milk Products</v>
      </c>
      <c r="D331" t="str">
        <f t="array" ref="D331">IF(TRIM('Raw Data'!D331)&lt;&gt;"",TRIM('Raw Data'!D331),IFERROR(INDEX('Reference Table'!$A$2:$A$46,MATCH(VALUE('Raw Data'!E331),VALUE('Reference Table'!$B$2:$B$46),0)),"Unknown"))</f>
        <v>Milk_Paneer_200g</v>
      </c>
      <c r="E331">
        <f>IF('Raw Data'!E331&lt;&gt;"",'Raw Data'!E331,IFERROR(INDEX('Reference Table'!$B$2:$B$32,MATCH(D331,'Reference Table'!$A$2:$A$32,0)),""))</f>
        <v>80</v>
      </c>
      <c r="F331">
        <f>IF('Raw Data'!F331&lt;&gt;"",'Raw Data'!F331,IFERROR(ROUND('Raw Data'!G331/E331,0),""))</f>
        <v>2</v>
      </c>
      <c r="G331">
        <f>IF('Raw Data'!G331&lt;&gt;"",'Raw Data'!G331,IFERROR(ROUND(E331*F331,2),""))</f>
        <v>160</v>
      </c>
      <c r="H331" t="str">
        <f>'Raw Data'!H331</f>
        <v>Debit Card</v>
      </c>
      <c r="I331" t="str">
        <f>IF('Raw Data'!D331="",IF(D331="Unknown","Could not recover","Filled from Price lookup"),IF(TRIM('Raw Data'!D331)&lt;&gt;'Raw Data'!D331,"Trimmed whitespace","OK"))</f>
        <v>OK</v>
      </c>
      <c r="J331" t="str">
        <f t="shared" si="5"/>
        <v>OK</v>
      </c>
    </row>
    <row r="332" spans="1:10">
      <c r="A332" t="str">
        <f>'Raw Data'!A332</f>
        <v>TXN_1198</v>
      </c>
      <c r="B332" s="1">
        <f>'Raw Data'!B332</f>
        <v>45893</v>
      </c>
      <c r="C332" t="str">
        <f>IFERROR(INDEX('Reference Table'!$C$2:$C$46,MATCH(D332,'Reference Table'!$A$2:$A$46,0)),"Unknown")</f>
        <v>Butchers</v>
      </c>
      <c r="D332" t="str">
        <f t="array" ref="D332">IF(TRIM('Raw Data'!D332)&lt;&gt;"",TRIM('Raw Data'!D332),IFERROR(INDEX('Reference Table'!$A$2:$A$46,MATCH(VALUE('Raw Data'!E332),VALUE('Reference Table'!$B$2:$B$46),0)),"Unknown"))</f>
        <v>Meat_Bacon_250g</v>
      </c>
      <c r="E332">
        <f>IF('Raw Data'!E332&lt;&gt;"",'Raw Data'!E332,IFERROR(INDEX('Reference Table'!$B$2:$B$32,MATCH(D332,'Reference Table'!$A$2:$A$32,0)),""))</f>
        <v>190</v>
      </c>
      <c r="F332">
        <f>IF('Raw Data'!F332&lt;&gt;"",'Raw Data'!F332,IFERROR(ROUND('Raw Data'!G332/E332,0),""))</f>
        <v>2</v>
      </c>
      <c r="G332">
        <f>IF('Raw Data'!G332&lt;&gt;"",'Raw Data'!G332,IFERROR(ROUND(E332*F332,2),""))</f>
        <v>380</v>
      </c>
      <c r="H332" t="str">
        <f>'Raw Data'!H332</f>
        <v>Credit Card</v>
      </c>
      <c r="I332" t="str">
        <f>IF('Raw Data'!D332="",IF(D332="Unknown","Could not recover","Filled from Price lookup"),IF(TRIM('Raw Data'!D332)&lt;&gt;'Raw Data'!D332,"Trimmed whitespace","OK"))</f>
        <v>OK</v>
      </c>
      <c r="J332" t="str">
        <f t="shared" si="5"/>
        <v>OK</v>
      </c>
    </row>
    <row r="333" spans="1:10">
      <c r="A333" t="str">
        <f>'Raw Data'!A333</f>
        <v>TXN_1417</v>
      </c>
      <c r="B333" s="1">
        <f>'Raw Data'!B333</f>
        <v>45751</v>
      </c>
      <c r="C333" t="str">
        <f>IFERROR(INDEX('Reference Table'!$C$2:$C$46,MATCH(D333,'Reference Table'!$A$2:$A$46,0)),"Unknown")</f>
        <v>Butchers</v>
      </c>
      <c r="D333" t="str">
        <f t="array" ref="D333">IF(TRIM('Raw Data'!D333)&lt;&gt;"",TRIM('Raw Data'!D333),IFERROR(INDEX('Reference Table'!$A$2:$A$46,MATCH(VALUE('Raw Data'!E333),VALUE('Reference Table'!$B$2:$B$46),0)),"Unknown"))</f>
        <v>Meat_Eggs_Dozen</v>
      </c>
      <c r="E333">
        <f>IF('Raw Data'!E333&lt;&gt;"",'Raw Data'!E333,IFERROR(INDEX('Reference Table'!$B$2:$B$32,MATCH(D333,'Reference Table'!$A$2:$A$32,0)),""))</f>
        <v>75</v>
      </c>
      <c r="F333">
        <f>IF('Raw Data'!F333&lt;&gt;"",'Raw Data'!F333,IFERROR(ROUND('Raw Data'!G333/E333,0),""))</f>
        <v>4</v>
      </c>
      <c r="G333">
        <f>IF('Raw Data'!G333&lt;&gt;"",'Raw Data'!G333,IFERROR(ROUND(E333*F333,2),""))</f>
        <v>300</v>
      </c>
      <c r="H333" t="str">
        <f>'Raw Data'!H333</f>
        <v>Cash</v>
      </c>
      <c r="I333" t="str">
        <f>IF('Raw Data'!D333="",IF(D333="Unknown","Could not recover","Filled from Price lookup"),IF(TRIM('Raw Data'!D333)&lt;&gt;'Raw Data'!D333,"Trimmed whitespace","OK"))</f>
        <v>OK</v>
      </c>
      <c r="J333" t="str">
        <f t="shared" si="5"/>
        <v>OK</v>
      </c>
    </row>
    <row r="334" spans="1:10">
      <c r="A334" t="str">
        <f>'Raw Data'!A334</f>
        <v>TXN_1162</v>
      </c>
      <c r="B334" s="1">
        <f>'Raw Data'!B334</f>
        <v>45898</v>
      </c>
      <c r="C334" t="str">
        <f>IFERROR(INDEX('Reference Table'!$C$2:$C$46,MATCH(D334,'Reference Table'!$A$2:$A$46,0)),"Unknown")</f>
        <v>Beverages</v>
      </c>
      <c r="D334" t="str">
        <f t="array" ref="D334">IF(TRIM('Raw Data'!D334)&lt;&gt;"",TRIM('Raw Data'!D334),IFERROR(INDEX('Reference Table'!$A$2:$A$46,MATCH(VALUE('Raw Data'!E334),VALUE('Reference Table'!$B$2:$B$46),0)),"Unknown"))</f>
        <v>Bev_Coffee_200g</v>
      </c>
      <c r="E334">
        <f>IF('Raw Data'!E334&lt;&gt;"",'Raw Data'!E334,IFERROR(INDEX('Reference Table'!$B$2:$B$32,MATCH(D334,'Reference Table'!$A$2:$A$32,0)),""))</f>
        <v>180</v>
      </c>
      <c r="F334">
        <f>IF('Raw Data'!F334&lt;&gt;"",'Raw Data'!F334,IFERROR(ROUND('Raw Data'!G334/E334,0),""))</f>
        <v>3</v>
      </c>
      <c r="G334">
        <f>IF('Raw Data'!G334&lt;&gt;"",'Raw Data'!G334,IFERROR(ROUND(E334*F334,2),""))</f>
        <v>540</v>
      </c>
      <c r="H334" t="str">
        <f>'Raw Data'!H334</f>
        <v>Mobile Payment</v>
      </c>
      <c r="I334" t="str">
        <f>IF('Raw Data'!D334="",IF(D334="Unknown","Could not recover","Filled from Price lookup"),IF(TRIM('Raw Data'!D334)&lt;&gt;'Raw Data'!D334,"Trimmed whitespace","OK"))</f>
        <v>Filled from Price lookup</v>
      </c>
      <c r="J334" t="str">
        <f t="shared" si="5"/>
        <v>OK</v>
      </c>
    </row>
    <row r="335" spans="1:10">
      <c r="A335" t="str">
        <f>'Raw Data'!A335</f>
        <v>TXN_1455</v>
      </c>
      <c r="B335" s="1">
        <f>'Raw Data'!B335</f>
        <v>45859</v>
      </c>
      <c r="C335" t="str">
        <f>IFERROR(INDEX('Reference Table'!$C$2:$C$46,MATCH(D335,'Reference Table'!$A$2:$A$46,0)),"Unknown")</f>
        <v>Beverages</v>
      </c>
      <c r="D335" t="str">
        <f t="array" ref="D335">IF(TRIM('Raw Data'!D335)&lt;&gt;"",TRIM('Raw Data'!D335),IFERROR(INDEX('Reference Table'!$A$2:$A$46,MATCH(VALUE('Raw Data'!E335),VALUE('Reference Table'!$B$2:$B$46),0)),"Unknown"))</f>
        <v>Bev_Water_1L</v>
      </c>
      <c r="E335">
        <f>IF('Raw Data'!E335&lt;&gt;"",'Raw Data'!E335,IFERROR(INDEX('Reference Table'!$B$2:$B$32,MATCH(D335,'Reference Table'!$A$2:$A$32,0)),""))</f>
        <v>20</v>
      </c>
      <c r="F335">
        <f>IF('Raw Data'!F335&lt;&gt;"",'Raw Data'!F335,IFERROR(ROUND('Raw Data'!G335/E335,0),""))</f>
        <v>4</v>
      </c>
      <c r="G335">
        <f>IF('Raw Data'!G335&lt;&gt;"",'Raw Data'!G335,IFERROR(ROUND(E335*F335,2),""))</f>
        <v>80</v>
      </c>
      <c r="H335" t="str">
        <f>'Raw Data'!H335</f>
        <v>Mobile Payment</v>
      </c>
      <c r="I335" t="str">
        <f>IF('Raw Data'!D335="",IF(D335="Unknown","Could not recover","Filled from Price lookup"),IF(TRIM('Raw Data'!D335)&lt;&gt;'Raw Data'!D335,"Trimmed whitespace","OK"))</f>
        <v>OK</v>
      </c>
      <c r="J335" t="str">
        <f t="shared" si="5"/>
        <v>OK</v>
      </c>
    </row>
    <row r="336" spans="1:10">
      <c r="A336" t="str">
        <f>'Raw Data'!A336</f>
        <v>TXN_1006</v>
      </c>
      <c r="B336" s="1">
        <f>'Raw Data'!B336</f>
        <v>45853</v>
      </c>
      <c r="C336" t="str">
        <f>IFERROR(INDEX('Reference Table'!$C$2:$C$46,MATCH(D336,'Reference Table'!$A$2:$A$46,0)),"Unknown")</f>
        <v>Food</v>
      </c>
      <c r="D336" t="str">
        <f t="array" ref="D336">IF(TRIM('Raw Data'!D336)&lt;&gt;"",TRIM('Raw Data'!D336),IFERROR(INDEX('Reference Table'!$A$2:$A$46,MATCH(VALUE('Raw Data'!E336),VALUE('Reference Table'!$B$2:$B$46),0)),"Unknown"))</f>
        <v>Food_Oats_1kg</v>
      </c>
      <c r="E336">
        <f>IF('Raw Data'!E336&lt;&gt;"",'Raw Data'!E336,IFERROR(INDEX('Reference Table'!$B$2:$B$32,MATCH(D336,'Reference Table'!$A$2:$A$32,0)),""))</f>
        <v>120</v>
      </c>
      <c r="F336">
        <f>IF('Raw Data'!F336&lt;&gt;"",'Raw Data'!F336,IFERROR(ROUND('Raw Data'!G336/E336,0),""))</f>
        <v>2</v>
      </c>
      <c r="G336">
        <f>IF('Raw Data'!G336&lt;&gt;"",'Raw Data'!G336,IFERROR(ROUND(E336*F336,2),""))</f>
        <v>240</v>
      </c>
      <c r="H336" t="str">
        <f>'Raw Data'!H336</f>
        <v>Debit Card</v>
      </c>
      <c r="I336" t="str">
        <f>IF('Raw Data'!D336="",IF(D336="Unknown","Could not recover","Filled from Price lookup"),IF(TRIM('Raw Data'!D336)&lt;&gt;'Raw Data'!D336,"Trimmed whitespace","OK"))</f>
        <v>Filled from Price lookup</v>
      </c>
      <c r="J336" t="str">
        <f t="shared" si="5"/>
        <v>OK</v>
      </c>
    </row>
    <row r="337" spans="1:10">
      <c r="A337" t="str">
        <f>'Raw Data'!A337</f>
        <v>TXN_1270</v>
      </c>
      <c r="B337" s="1">
        <f>'Raw Data'!B337</f>
        <v>45833</v>
      </c>
      <c r="C337" t="str">
        <f>IFERROR(INDEX('Reference Table'!$C$2:$C$46,MATCH(D337,'Reference Table'!$A$2:$A$46,0)),"Unknown")</f>
        <v>Butchers</v>
      </c>
      <c r="D337" t="str">
        <f t="array" ref="D337">IF(TRIM('Raw Data'!D337)&lt;&gt;"",TRIM('Raw Data'!D337),IFERROR(INDEX('Reference Table'!$A$2:$A$46,MATCH(VALUE('Raw Data'!E337),VALUE('Reference Table'!$B$2:$B$46),0)),"Unknown"))</f>
        <v>Meat_Eggs_Dozen</v>
      </c>
      <c r="E337">
        <f>IF('Raw Data'!E337&lt;&gt;"",'Raw Data'!E337,IFERROR(INDEX('Reference Table'!$B$2:$B$32,MATCH(D337,'Reference Table'!$A$2:$A$32,0)),""))</f>
        <v>75</v>
      </c>
      <c r="F337">
        <f>IF('Raw Data'!F337&lt;&gt;"",'Raw Data'!F337,IFERROR(ROUND('Raw Data'!G337/E337,0),""))</f>
        <v>2</v>
      </c>
      <c r="G337">
        <f>IF('Raw Data'!G337&lt;&gt;"",'Raw Data'!G337,IFERROR(ROUND(E337*F337,2),""))</f>
        <v>150</v>
      </c>
      <c r="H337" t="str">
        <f>'Raw Data'!H337</f>
        <v>Mobile Payment</v>
      </c>
      <c r="I337" t="str">
        <f>IF('Raw Data'!D337="",IF(D337="Unknown","Could not recover","Filled from Price lookup"),IF(TRIM('Raw Data'!D337)&lt;&gt;'Raw Data'!D337,"Trimmed whitespace","OK"))</f>
        <v>Filled from Price lookup</v>
      </c>
      <c r="J337" t="str">
        <f t="shared" si="5"/>
        <v>OK</v>
      </c>
    </row>
    <row r="338" spans="1:10">
      <c r="A338" t="str">
        <f>'Raw Data'!A338</f>
        <v>TXN_1415</v>
      </c>
      <c r="B338" s="1">
        <f>'Raw Data'!B338</f>
        <v>45810</v>
      </c>
      <c r="C338" t="str">
        <f>IFERROR(INDEX('Reference Table'!$C$2:$C$46,MATCH(D338,'Reference Table'!$A$2:$A$46,0)),"Unknown")</f>
        <v>Patisserie</v>
      </c>
      <c r="D338" t="str">
        <f t="array" ref="D338">IF(TRIM('Raw Data'!D338)&lt;&gt;"",TRIM('Raw Data'!D338),IFERROR(INDEX('Reference Table'!$A$2:$A$46,MATCH(VALUE('Raw Data'!E338),VALUE('Reference Table'!$B$2:$B$46),0)),"Unknown"))</f>
        <v>Pat_Cake_Slice</v>
      </c>
      <c r="E338">
        <f>IF('Raw Data'!E338&lt;&gt;"",'Raw Data'!E338,IFERROR(INDEX('Reference Table'!$B$2:$B$32,MATCH(D338,'Reference Table'!$A$2:$A$32,0)),""))</f>
        <v>90</v>
      </c>
      <c r="F338">
        <f>IF('Raw Data'!F338&lt;&gt;"",'Raw Data'!F338,IFERROR(ROUND('Raw Data'!G338/E338,0),""))</f>
        <v>4</v>
      </c>
      <c r="G338">
        <f>IF('Raw Data'!G338&lt;&gt;"",'Raw Data'!G338,IFERROR(ROUND(E338*F338,2),""))</f>
        <v>360</v>
      </c>
      <c r="H338" t="str">
        <f>'Raw Data'!H338</f>
        <v>Mobile Payment</v>
      </c>
      <c r="I338" t="str">
        <f>IF('Raw Data'!D338="",IF(D338="Unknown","Could not recover","Filled from Price lookup"),IF(TRIM('Raw Data'!D338)&lt;&gt;'Raw Data'!D338,"Trimmed whitespace","OK"))</f>
        <v>OK</v>
      </c>
      <c r="J338" t="str">
        <f t="shared" si="5"/>
        <v>OK</v>
      </c>
    </row>
    <row r="339" spans="1:10">
      <c r="A339" t="str">
        <f>'Raw Data'!A339</f>
        <v>TXN_1566</v>
      </c>
      <c r="B339" s="1">
        <f>'Raw Data'!B339</f>
        <v>45732</v>
      </c>
      <c r="C339" t="str">
        <f>IFERROR(INDEX('Reference Table'!$C$2:$C$46,MATCH(D339,'Reference Table'!$A$2:$A$46,0)),"Unknown")</f>
        <v>Electric Accessories</v>
      </c>
      <c r="D339" t="str">
        <f t="array" ref="D339">IF(TRIM('Raw Data'!D339)&lt;&gt;"",TRIM('Raw Data'!D339),IFERROR(INDEX('Reference Table'!$A$2:$A$46,MATCH(VALUE('Raw Data'!E339),VALUE('Reference Table'!$B$2:$B$46),0)),"Unknown"))</f>
        <v>Elec_Cable_USB</v>
      </c>
      <c r="E339">
        <f>IF('Raw Data'!E339&lt;&gt;"",'Raw Data'!E339,IFERROR(INDEX('Reference Table'!$B$2:$B$32,MATCH(D339,'Reference Table'!$A$2:$A$32,0)),""))</f>
        <v>150</v>
      </c>
      <c r="F339">
        <f>IF('Raw Data'!F339&lt;&gt;"",'Raw Data'!F339,IFERROR(ROUND('Raw Data'!G339/E339,0),""))</f>
        <v>3</v>
      </c>
      <c r="G339">
        <f>IF('Raw Data'!G339&lt;&gt;"",'Raw Data'!G339,IFERROR(ROUND(E339*F339,2),""))</f>
        <v>450</v>
      </c>
      <c r="H339" t="str">
        <f>'Raw Data'!H339</f>
        <v>Mobile Payment</v>
      </c>
      <c r="I339" t="str">
        <f>IF('Raw Data'!D339="",IF(D339="Unknown","Could not recover","Filled from Price lookup"),IF(TRIM('Raw Data'!D339)&lt;&gt;'Raw Data'!D339,"Trimmed whitespace","OK"))</f>
        <v>OK</v>
      </c>
      <c r="J339" t="str">
        <f t="shared" si="5"/>
        <v>OK</v>
      </c>
    </row>
    <row r="340" spans="1:10">
      <c r="A340" t="str">
        <f>'Raw Data'!A340</f>
        <v>TXN_1326</v>
      </c>
      <c r="B340" s="1">
        <f>'Raw Data'!B340</f>
        <v>45810</v>
      </c>
      <c r="C340" t="str">
        <f>IFERROR(INDEX('Reference Table'!$C$2:$C$46,MATCH(D340,'Reference Table'!$A$2:$A$46,0)),"Unknown")</f>
        <v>Furniture</v>
      </c>
      <c r="D340" t="str">
        <f t="array" ref="D340">IF(TRIM('Raw Data'!D340)&lt;&gt;"",TRIM('Raw Data'!D340),IFERROR(INDEX('Reference Table'!$A$2:$A$46,MATCH(VALUE('Raw Data'!E340),VALUE('Reference Table'!$B$2:$B$46),0)),"Unknown"))</f>
        <v>Furn_Cushion</v>
      </c>
      <c r="E340" t="str">
        <f>IF('Raw Data'!E340&lt;&gt;"",'Raw Data'!E340,IFERROR(INDEX('Reference Table'!$B$2:$B$32,MATCH(D340,'Reference Table'!$A$2:$A$32,0)),""))</f>
        <v/>
      </c>
      <c r="F340">
        <f>IF('Raw Data'!F340&lt;&gt;"",'Raw Data'!F340,IFERROR(ROUND('Raw Data'!G340/E340,0),""))</f>
        <v>2</v>
      </c>
      <c r="G340">
        <f>IF('Raw Data'!G340&lt;&gt;"",'Raw Data'!G340,IFERROR(ROUND(E340*F340,2),""))</f>
        <v>700</v>
      </c>
      <c r="H340" t="str">
        <f>'Raw Data'!H340</f>
        <v>Mobile Payment</v>
      </c>
      <c r="I340" t="str">
        <f>IF('Raw Data'!D340="",IF(D340="Unknown","Could not recover","Filled from Price lookup"),IF(TRIM('Raw Data'!D340)&lt;&gt;'Raw Data'!D340,"Trimmed whitespace","OK"))</f>
        <v>OK</v>
      </c>
      <c r="J340" t="str">
        <f t="shared" si="5"/>
        <v>Incomplete</v>
      </c>
    </row>
    <row r="341" spans="1:10">
      <c r="A341" t="str">
        <f>'Raw Data'!A341</f>
        <v>TXN_1533</v>
      </c>
      <c r="B341" s="1">
        <f>'Raw Data'!B341</f>
        <v>45799</v>
      </c>
      <c r="C341" t="str">
        <f>IFERROR(INDEX('Reference Table'!$C$2:$C$46,MATCH(D341,'Reference Table'!$A$2:$A$46,0)),"Unknown")</f>
        <v>Butchers</v>
      </c>
      <c r="D341" t="str">
        <f t="array" ref="D341">IF(TRIM('Raw Data'!D341)&lt;&gt;"",TRIM('Raw Data'!D341),IFERROR(INDEX('Reference Table'!$A$2:$A$46,MATCH(VALUE('Raw Data'!E341),VALUE('Reference Table'!$B$2:$B$46),0)),"Unknown"))</f>
        <v>Meat_Bacon_250g</v>
      </c>
      <c r="E341">
        <f>IF('Raw Data'!E341&lt;&gt;"",'Raw Data'!E341,IFERROR(INDEX('Reference Table'!$B$2:$B$32,MATCH(D341,'Reference Table'!$A$2:$A$32,0)),""))</f>
        <v>190</v>
      </c>
      <c r="F341">
        <f>IF('Raw Data'!F341&lt;&gt;"",'Raw Data'!F341,IFERROR(ROUND('Raw Data'!G341/E341,0),""))</f>
        <v>4</v>
      </c>
      <c r="G341">
        <f>IF('Raw Data'!G341&lt;&gt;"",'Raw Data'!G341,IFERROR(ROUND(E341*F341,2),""))</f>
        <v>760</v>
      </c>
      <c r="H341" t="str">
        <f>'Raw Data'!H341</f>
        <v>Mobile Payment</v>
      </c>
      <c r="I341" t="str">
        <f>IF('Raw Data'!D341="",IF(D341="Unknown","Could not recover","Filled from Price lookup"),IF(TRIM('Raw Data'!D341)&lt;&gt;'Raw Data'!D341,"Trimmed whitespace","OK"))</f>
        <v>Filled from Price lookup</v>
      </c>
      <c r="J341" t="str">
        <f t="shared" si="5"/>
        <v>OK</v>
      </c>
    </row>
    <row r="342" spans="1:10">
      <c r="A342" t="str">
        <f>'Raw Data'!A342</f>
        <v>TXN_1123</v>
      </c>
      <c r="B342" s="1">
        <f>'Raw Data'!B342</f>
        <v>45664</v>
      </c>
      <c r="C342" t="str">
        <f>IFERROR(INDEX('Reference Table'!$C$2:$C$46,MATCH(D342,'Reference Table'!$A$2:$A$46,0)),"Unknown")</f>
        <v>Furniture</v>
      </c>
      <c r="D342" t="str">
        <f t="array" ref="D342">IF(TRIM('Raw Data'!D342)&lt;&gt;"",TRIM('Raw Data'!D342),IFERROR(INDEX('Reference Table'!$A$2:$A$46,MATCH(VALUE('Raw Data'!E342),VALUE('Reference Table'!$B$2:$B$46),0)),"Unknown"))</f>
        <v>Furn_Cushion</v>
      </c>
      <c r="E342">
        <f>IF('Raw Data'!E342&lt;&gt;"",'Raw Data'!E342,IFERROR(INDEX('Reference Table'!$B$2:$B$32,MATCH(D342,'Reference Table'!$A$2:$A$32,0)),""))</f>
        <v>350</v>
      </c>
      <c r="F342">
        <f>IF('Raw Data'!F342&lt;&gt;"",'Raw Data'!F342,IFERROR(ROUND('Raw Data'!G342/E342,0),""))</f>
        <v>5</v>
      </c>
      <c r="G342">
        <f>IF('Raw Data'!G342&lt;&gt;"",'Raw Data'!G342,IFERROR(ROUND(E342*F342,2),""))</f>
        <v>1750</v>
      </c>
      <c r="H342" t="str">
        <f>'Raw Data'!H342</f>
        <v>Mobile Payment</v>
      </c>
      <c r="I342" t="str">
        <f>IF('Raw Data'!D342="",IF(D342="Unknown","Could not recover","Filled from Price lookup"),IF(TRIM('Raw Data'!D342)&lt;&gt;'Raw Data'!D342,"Trimmed whitespace","OK"))</f>
        <v>OK</v>
      </c>
      <c r="J342" t="str">
        <f t="shared" si="5"/>
        <v>OK</v>
      </c>
    </row>
    <row r="343" spans="1:10">
      <c r="A343" t="str">
        <f>'Raw Data'!A343</f>
        <v>TXN_1057</v>
      </c>
      <c r="B343" s="1">
        <f>'Raw Data'!B343</f>
        <v>45807</v>
      </c>
      <c r="C343" t="str">
        <f>IFERROR(INDEX('Reference Table'!$C$2:$C$46,MATCH(D343,'Reference Table'!$A$2:$A$46,0)),"Unknown")</f>
        <v>Beverages</v>
      </c>
      <c r="D343" t="str">
        <f t="array" ref="D343">IF(TRIM('Raw Data'!D343)&lt;&gt;"",TRIM('Raw Data'!D343),IFERROR(INDEX('Reference Table'!$A$2:$A$46,MATCH(VALUE('Raw Data'!E343),VALUE('Reference Table'!$B$2:$B$46),0)),"Unknown"))</f>
        <v>Bev_Coffee_200g</v>
      </c>
      <c r="E343">
        <f>IF('Raw Data'!E343&lt;&gt;"",'Raw Data'!E343,IFERROR(INDEX('Reference Table'!$B$2:$B$32,MATCH(D343,'Reference Table'!$A$2:$A$32,0)),""))</f>
        <v>180</v>
      </c>
      <c r="F343">
        <f>IF('Raw Data'!F343&lt;&gt;"",'Raw Data'!F343,IFERROR(ROUND('Raw Data'!G343/E343,0),""))</f>
        <v>1</v>
      </c>
      <c r="G343">
        <f>IF('Raw Data'!G343&lt;&gt;"",'Raw Data'!G343,IFERROR(ROUND(E343*F343,2),""))</f>
        <v>180</v>
      </c>
      <c r="H343" t="str">
        <f>'Raw Data'!H343</f>
        <v>Mobile Payment</v>
      </c>
      <c r="I343" t="str">
        <f>IF('Raw Data'!D343="",IF(D343="Unknown","Could not recover","Filled from Price lookup"),IF(TRIM('Raw Data'!D343)&lt;&gt;'Raw Data'!D343,"Trimmed whitespace","OK"))</f>
        <v>OK</v>
      </c>
      <c r="J343" t="str">
        <f t="shared" si="5"/>
        <v>OK</v>
      </c>
    </row>
    <row r="344" spans="1:10">
      <c r="A344" t="str">
        <f>'Raw Data'!A344</f>
        <v>TXN_1197</v>
      </c>
      <c r="B344" s="1">
        <f>'Raw Data'!B344</f>
        <v>45720</v>
      </c>
      <c r="C344" t="str">
        <f>IFERROR(INDEX('Reference Table'!$C$2:$C$46,MATCH(D344,'Reference Table'!$A$2:$A$46,0)),"Unknown")</f>
        <v>Computers</v>
      </c>
      <c r="D344" t="str">
        <f t="array" ref="D344">IF(TRIM('Raw Data'!D344)&lt;&gt;"",TRIM('Raw Data'!D344),IFERROR(INDEX('Reference Table'!$A$2:$A$46,MATCH(VALUE('Raw Data'!E344),VALUE('Reference Table'!$B$2:$B$46),0)),"Unknown"))</f>
        <v>Comp_Mouse</v>
      </c>
      <c r="E344">
        <f>IF('Raw Data'!E344&lt;&gt;"",'Raw Data'!E344,IFERROR(INDEX('Reference Table'!$B$2:$B$32,MATCH(D344,'Reference Table'!$A$2:$A$32,0)),""))</f>
        <v>500</v>
      </c>
      <c r="F344">
        <f>IF('Raw Data'!F344&lt;&gt;"",'Raw Data'!F344,IFERROR(ROUND('Raw Data'!G344/E344,0),""))</f>
        <v>4</v>
      </c>
      <c r="G344">
        <f>IF('Raw Data'!G344&lt;&gt;"",'Raw Data'!G344,IFERROR(ROUND(E344*F344,2),""))</f>
        <v>2000</v>
      </c>
      <c r="H344" t="str">
        <f>'Raw Data'!H344</f>
        <v>Mobile Payment</v>
      </c>
      <c r="I344" t="str">
        <f>IF('Raw Data'!D344="",IF(D344="Unknown","Could not recover","Filled from Price lookup"),IF(TRIM('Raw Data'!D344)&lt;&gt;'Raw Data'!D344,"Trimmed whitespace","OK"))</f>
        <v>OK</v>
      </c>
      <c r="J344" t="str">
        <f t="shared" si="5"/>
        <v>OK</v>
      </c>
    </row>
    <row r="345" spans="1:10">
      <c r="A345" t="str">
        <f>'Raw Data'!A345</f>
        <v>TXN_1597</v>
      </c>
      <c r="B345" s="1">
        <f>'Raw Data'!B345</f>
        <v>45830</v>
      </c>
      <c r="C345" t="str">
        <f>IFERROR(INDEX('Reference Table'!$C$2:$C$46,MATCH(D345,'Reference Table'!$A$2:$A$46,0)),"Unknown")</f>
        <v>Furniture</v>
      </c>
      <c r="D345" t="str">
        <f t="array" ref="D345">IF(TRIM('Raw Data'!D345)&lt;&gt;"",TRIM('Raw Data'!D345),IFERROR(INDEX('Reference Table'!$A$2:$A$46,MATCH(VALUE('Raw Data'!E345),VALUE('Reference Table'!$B$2:$B$46),0)),"Unknown"))</f>
        <v>Furn_Lamp</v>
      </c>
      <c r="E345">
        <f>IF('Raw Data'!E345&lt;&gt;"",'Raw Data'!E345,IFERROR(INDEX('Reference Table'!$B$2:$B$32,MATCH(D345,'Reference Table'!$A$2:$A$32,0)),""))</f>
        <v>700</v>
      </c>
      <c r="F345">
        <f>IF('Raw Data'!F345&lt;&gt;"",'Raw Data'!F345,IFERROR(ROUND('Raw Data'!G345/E345,0),""))</f>
        <v>1</v>
      </c>
      <c r="G345">
        <f>IF('Raw Data'!G345&lt;&gt;"",'Raw Data'!G345,IFERROR(ROUND(E345*F345,2),""))</f>
        <v>700</v>
      </c>
      <c r="H345" t="str">
        <f>'Raw Data'!H345</f>
        <v>Credit Card</v>
      </c>
      <c r="I345" t="str">
        <f>IF('Raw Data'!D345="",IF(D345="Unknown","Could not recover","Filled from Price lookup"),IF(TRIM('Raw Data'!D345)&lt;&gt;'Raw Data'!D345,"Trimmed whitespace","OK"))</f>
        <v>OK</v>
      </c>
      <c r="J345" t="str">
        <f t="shared" si="5"/>
        <v>OK</v>
      </c>
    </row>
    <row r="346" spans="1:10">
      <c r="A346" t="str">
        <f>'Raw Data'!A346</f>
        <v>TXN_1122</v>
      </c>
      <c r="B346" s="1">
        <f>'Raw Data'!B346</f>
        <v>45700</v>
      </c>
      <c r="C346" t="str">
        <f>IFERROR(INDEX('Reference Table'!$C$2:$C$46,MATCH(D346,'Reference Table'!$A$2:$A$46,0)),"Unknown")</f>
        <v>Electric Accessories</v>
      </c>
      <c r="D346" t="str">
        <f t="array" ref="D346">IF(TRIM('Raw Data'!D346)&lt;&gt;"",TRIM('Raw Data'!D346),IFERROR(INDEX('Reference Table'!$A$2:$A$46,MATCH(VALUE('Raw Data'!E346),VALUE('Reference Table'!$B$2:$B$46),0)),"Unknown"))</f>
        <v>Elec_Cable_USB</v>
      </c>
      <c r="E346">
        <f>IF('Raw Data'!E346&lt;&gt;"",'Raw Data'!E346,IFERROR(INDEX('Reference Table'!$B$2:$B$32,MATCH(D346,'Reference Table'!$A$2:$A$32,0)),""))</f>
        <v>150</v>
      </c>
      <c r="F346">
        <f>IF('Raw Data'!F346&lt;&gt;"",'Raw Data'!F346,IFERROR(ROUND('Raw Data'!G346/E346,0),""))</f>
        <v>6</v>
      </c>
      <c r="G346">
        <f>IF('Raw Data'!G346&lt;&gt;"",'Raw Data'!G346,IFERROR(ROUND(E346*F346,2),""))</f>
        <v>900</v>
      </c>
      <c r="H346" t="str">
        <f>'Raw Data'!H346</f>
        <v>Mobile Payment</v>
      </c>
      <c r="I346" t="str">
        <f>IF('Raw Data'!D346="",IF(D346="Unknown","Could not recover","Filled from Price lookup"),IF(TRIM('Raw Data'!D346)&lt;&gt;'Raw Data'!D346,"Trimmed whitespace","OK"))</f>
        <v>OK</v>
      </c>
      <c r="J346" t="str">
        <f t="shared" si="5"/>
        <v>OK</v>
      </c>
    </row>
    <row r="347" spans="1:10">
      <c r="A347" t="str">
        <f>'Raw Data'!A347</f>
        <v>TXN_1027</v>
      </c>
      <c r="B347" s="1">
        <f>'Raw Data'!B347</f>
        <v>45884</v>
      </c>
      <c r="C347" t="str">
        <f>IFERROR(INDEX('Reference Table'!$C$2:$C$46,MATCH(D347,'Reference Table'!$A$2:$A$46,0)),"Unknown")</f>
        <v>Food</v>
      </c>
      <c r="D347" t="str">
        <f t="array" ref="D347">IF(TRIM('Raw Data'!D347)&lt;&gt;"",TRIM('Raw Data'!D347),IFERROR(INDEX('Reference Table'!$A$2:$A$46,MATCH(VALUE('Raw Data'!E347),VALUE('Reference Table'!$B$2:$B$46),0)),"Unknown"))</f>
        <v>Food_Pasta_500g</v>
      </c>
      <c r="E347">
        <f>IF('Raw Data'!E347&lt;&gt;"",'Raw Data'!E347,IFERROR(INDEX('Reference Table'!$B$2:$B$32,MATCH(D347,'Reference Table'!$A$2:$A$32,0)),""))</f>
        <v>65</v>
      </c>
      <c r="F347">
        <f>IF('Raw Data'!F347&lt;&gt;"",'Raw Data'!F347,IFERROR(ROUND('Raw Data'!G347/E347,0),""))</f>
        <v>6</v>
      </c>
      <c r="G347">
        <f>IF('Raw Data'!G347&lt;&gt;"",'Raw Data'!G347,IFERROR(ROUND(E347*F347,2),""))</f>
        <v>390</v>
      </c>
      <c r="H347" t="str">
        <f>'Raw Data'!H347</f>
        <v>Debit Card</v>
      </c>
      <c r="I347" t="str">
        <f>IF('Raw Data'!D347="",IF(D347="Unknown","Could not recover","Filled from Price lookup"),IF(TRIM('Raw Data'!D347)&lt;&gt;'Raw Data'!D347,"Trimmed whitespace","OK"))</f>
        <v>OK</v>
      </c>
      <c r="J347" t="str">
        <f t="shared" si="5"/>
        <v>OK</v>
      </c>
    </row>
    <row r="348" spans="1:10">
      <c r="A348" t="str">
        <f>'Raw Data'!A348</f>
        <v>TXN_1365</v>
      </c>
      <c r="B348" s="1">
        <f>'Raw Data'!B348</f>
        <v>45863</v>
      </c>
      <c r="C348" t="str">
        <f>IFERROR(INDEX('Reference Table'!$C$2:$C$46,MATCH(D348,'Reference Table'!$A$2:$A$46,0)),"Unknown")</f>
        <v>Computers</v>
      </c>
      <c r="D348" t="str">
        <f t="array" ref="D348">IF(TRIM('Raw Data'!D348)&lt;&gt;"",TRIM('Raw Data'!D348),IFERROR(INDEX('Reference Table'!$A$2:$A$46,MATCH(VALUE('Raw Data'!E348),VALUE('Reference Table'!$B$2:$B$46),0)),"Unknown"))</f>
        <v>Comp_HDMI_Cable</v>
      </c>
      <c r="E348">
        <f>IF('Raw Data'!E348&lt;&gt;"",'Raw Data'!E348,IFERROR(INDEX('Reference Table'!$B$2:$B$32,MATCH(D348,'Reference Table'!$A$2:$A$32,0)),""))</f>
        <v>300</v>
      </c>
      <c r="F348">
        <f>IF('Raw Data'!F348&lt;&gt;"",'Raw Data'!F348,IFERROR(ROUND('Raw Data'!G348/E348,0),""))</f>
        <v>3</v>
      </c>
      <c r="G348">
        <f>IF('Raw Data'!G348&lt;&gt;"",'Raw Data'!G348,IFERROR(ROUND(E348*F348,2),""))</f>
        <v>900</v>
      </c>
      <c r="H348" t="str">
        <f>'Raw Data'!H348</f>
        <v>Cash</v>
      </c>
      <c r="I348" t="str">
        <f>IF('Raw Data'!D348="",IF(D348="Unknown","Could not recover","Filled from Price lookup"),IF(TRIM('Raw Data'!D348)&lt;&gt;'Raw Data'!D348,"Trimmed whitespace","OK"))</f>
        <v>OK</v>
      </c>
      <c r="J348" t="str">
        <f t="shared" si="5"/>
        <v>OK</v>
      </c>
    </row>
    <row r="349" spans="1:10">
      <c r="A349" t="str">
        <f>'Raw Data'!A349</f>
        <v>TXN_1151</v>
      </c>
      <c r="B349" s="1">
        <f>'Raw Data'!B349</f>
        <v>45835</v>
      </c>
      <c r="C349" t="str">
        <f>IFERROR(INDEX('Reference Table'!$C$2:$C$46,MATCH(D349,'Reference Table'!$A$2:$A$46,0)),"Unknown")</f>
        <v>Milk Products</v>
      </c>
      <c r="D349" t="str">
        <f t="array" ref="D349">IF(TRIM('Raw Data'!D349)&lt;&gt;"",TRIM('Raw Data'!D349),IFERROR(INDEX('Reference Table'!$A$2:$A$46,MATCH(VALUE('Raw Data'!E349),VALUE('Reference Table'!$B$2:$B$46),0)),"Unknown"))</f>
        <v>Milk_Ghee_500ml</v>
      </c>
      <c r="E349">
        <f>IF('Raw Data'!E349&lt;&gt;"",'Raw Data'!E349,IFERROR(INDEX('Reference Table'!$B$2:$B$32,MATCH(D349,'Reference Table'!$A$2:$A$32,0)),""))</f>
        <v>350</v>
      </c>
      <c r="F349">
        <f>IF('Raw Data'!F349&lt;&gt;"",'Raw Data'!F349,IFERROR(ROUND('Raw Data'!G349/E349,0),""))</f>
        <v>4</v>
      </c>
      <c r="G349">
        <f>IF('Raw Data'!G349&lt;&gt;"",'Raw Data'!G349,IFERROR(ROUND(E349*F349,2),""))</f>
        <v>1400</v>
      </c>
      <c r="H349" t="str">
        <f>'Raw Data'!H349</f>
        <v>Credit Card</v>
      </c>
      <c r="I349" t="str">
        <f>IF('Raw Data'!D349="",IF(D349="Unknown","Could not recover","Filled from Price lookup"),IF(TRIM('Raw Data'!D349)&lt;&gt;'Raw Data'!D349,"Trimmed whitespace","OK"))</f>
        <v>OK</v>
      </c>
      <c r="J349" t="str">
        <f t="shared" si="5"/>
        <v>OK</v>
      </c>
    </row>
    <row r="350" spans="1:10">
      <c r="A350" t="str">
        <f>'Raw Data'!A350</f>
        <v>TXN_1200</v>
      </c>
      <c r="B350" s="1">
        <f>'Raw Data'!B350</f>
        <v>45734</v>
      </c>
      <c r="C350" t="str">
        <f>IFERROR(INDEX('Reference Table'!$C$2:$C$46,MATCH(D350,'Reference Table'!$A$2:$A$46,0)),"Unknown")</f>
        <v>Patisserie</v>
      </c>
      <c r="D350" t="str">
        <f t="array" ref="D350">IF(TRIM('Raw Data'!D350)&lt;&gt;"",TRIM('Raw Data'!D350),IFERROR(INDEX('Reference Table'!$A$2:$A$46,MATCH(VALUE('Raw Data'!E350),VALUE('Reference Table'!$B$2:$B$46),0)),"Unknown"))</f>
        <v>Pat_Cake_Slice</v>
      </c>
      <c r="E350">
        <f>IF('Raw Data'!E350&lt;&gt;"",'Raw Data'!E350,IFERROR(INDEX('Reference Table'!$B$2:$B$32,MATCH(D350,'Reference Table'!$A$2:$A$32,0)),""))</f>
        <v>90</v>
      </c>
      <c r="F350">
        <f>IF('Raw Data'!F350&lt;&gt;"",'Raw Data'!F350,IFERROR(ROUND('Raw Data'!G350/E350,0),""))</f>
        <v>6</v>
      </c>
      <c r="G350">
        <f>IF('Raw Data'!G350&lt;&gt;"",'Raw Data'!G350,IFERROR(ROUND(E350*F350,2),""))</f>
        <v>540</v>
      </c>
      <c r="H350" t="str">
        <f>'Raw Data'!H350</f>
        <v>Mobile Payment</v>
      </c>
      <c r="I350" t="str">
        <f>IF('Raw Data'!D350="",IF(D350="Unknown","Could not recover","Filled from Price lookup"),IF(TRIM('Raw Data'!D350)&lt;&gt;'Raw Data'!D350,"Trimmed whitespace","OK"))</f>
        <v>OK</v>
      </c>
      <c r="J350" t="str">
        <f t="shared" si="5"/>
        <v>OK</v>
      </c>
    </row>
    <row r="351" spans="1:10">
      <c r="A351" t="str">
        <f>'Raw Data'!A351</f>
        <v>TXN_1096</v>
      </c>
      <c r="B351" s="1">
        <f>'Raw Data'!B351</f>
        <v>45803</v>
      </c>
      <c r="C351" t="str">
        <f>IFERROR(INDEX('Reference Table'!$C$2:$C$46,MATCH(D351,'Reference Table'!$A$2:$A$46,0)),"Unknown")</f>
        <v>Milk Products</v>
      </c>
      <c r="D351" t="str">
        <f t="array" ref="D351">IF(TRIM('Raw Data'!D351)&lt;&gt;"",TRIM('Raw Data'!D351),IFERROR(INDEX('Reference Table'!$A$2:$A$46,MATCH(VALUE('Raw Data'!E351),VALUE('Reference Table'!$B$2:$B$46),0)),"Unknown"))</f>
        <v>Milk_Butter_500g</v>
      </c>
      <c r="E351">
        <f>IF('Raw Data'!E351&lt;&gt;"",'Raw Data'!E351,IFERROR(INDEX('Reference Table'!$B$2:$B$32,MATCH(D351,'Reference Table'!$A$2:$A$32,0)),""))</f>
        <v>250</v>
      </c>
      <c r="F351">
        <f>IF('Raw Data'!F351&lt;&gt;"",'Raw Data'!F351,IFERROR(ROUND('Raw Data'!G351/E351,0),""))</f>
        <v>5</v>
      </c>
      <c r="G351">
        <f>IF('Raw Data'!G351&lt;&gt;"",'Raw Data'!G351,IFERROR(ROUND(E351*F351,2),""))</f>
        <v>1250</v>
      </c>
      <c r="H351" t="str">
        <f>'Raw Data'!H351</f>
        <v>Debit Card</v>
      </c>
      <c r="I351" t="str">
        <f>IF('Raw Data'!D351="",IF(D351="Unknown","Could not recover","Filled from Price lookup"),IF(TRIM('Raw Data'!D351)&lt;&gt;'Raw Data'!D351,"Trimmed whitespace","OK"))</f>
        <v>OK</v>
      </c>
      <c r="J351" t="str">
        <f t="shared" si="5"/>
        <v>OK</v>
      </c>
    </row>
    <row r="352" spans="1:10">
      <c r="A352" t="str">
        <f>'Raw Data'!A352</f>
        <v>TXN_1260</v>
      </c>
      <c r="B352" s="1">
        <f>'Raw Data'!B352</f>
        <v>45858</v>
      </c>
      <c r="C352" t="str">
        <f>IFERROR(INDEX('Reference Table'!$C$2:$C$46,MATCH(D352,'Reference Table'!$A$2:$A$46,0)),"Unknown")</f>
        <v>Beverages</v>
      </c>
      <c r="D352" t="str">
        <f t="array" ref="D352">IF(TRIM('Raw Data'!D352)&lt;&gt;"",TRIM('Raw Data'!D352),IFERROR(INDEX('Reference Table'!$A$2:$A$46,MATCH(VALUE('Raw Data'!E352),VALUE('Reference Table'!$B$2:$B$46),0)),"Unknown"))</f>
        <v>Bev_Water_1L</v>
      </c>
      <c r="E352">
        <f>IF('Raw Data'!E352&lt;&gt;"",'Raw Data'!E352,IFERROR(INDEX('Reference Table'!$B$2:$B$32,MATCH(D352,'Reference Table'!$A$2:$A$32,0)),""))</f>
        <v>20</v>
      </c>
      <c r="F352">
        <f>IF('Raw Data'!F352&lt;&gt;"",'Raw Data'!F352,IFERROR(ROUND('Raw Data'!G352/E352,0),""))</f>
        <v>6</v>
      </c>
      <c r="G352">
        <f>IF('Raw Data'!G352&lt;&gt;"",'Raw Data'!G352,IFERROR(ROUND(E352*F352,2),""))</f>
        <v>120</v>
      </c>
      <c r="H352" t="str">
        <f>'Raw Data'!H352</f>
        <v>Debit Card</v>
      </c>
      <c r="I352" t="str">
        <f>IF('Raw Data'!D352="",IF(D352="Unknown","Could not recover","Filled from Price lookup"),IF(TRIM('Raw Data'!D352)&lt;&gt;'Raw Data'!D352,"Trimmed whitespace","OK"))</f>
        <v>OK</v>
      </c>
      <c r="J352" t="str">
        <f t="shared" si="5"/>
        <v>OK</v>
      </c>
    </row>
    <row r="353" spans="1:10">
      <c r="A353" t="str">
        <f>'Raw Data'!A353</f>
        <v>TXN_1310</v>
      </c>
      <c r="B353" s="1">
        <f>'Raw Data'!B353</f>
        <v>45776</v>
      </c>
      <c r="C353" t="str">
        <f>IFERROR(INDEX('Reference Table'!$C$2:$C$46,MATCH(D353,'Reference Table'!$A$2:$A$46,0)),"Unknown")</f>
        <v>Computers</v>
      </c>
      <c r="D353" t="str">
        <f t="array" ref="D353">IF(TRIM('Raw Data'!D353)&lt;&gt;"",TRIM('Raw Data'!D353),IFERROR(INDEX('Reference Table'!$A$2:$A$46,MATCH(VALUE('Raw Data'!E353),VALUE('Reference Table'!$B$2:$B$46),0)),"Unknown"))</f>
        <v>Comp_USB_Drive_32GB</v>
      </c>
      <c r="E353">
        <f>IF('Raw Data'!E353&lt;&gt;"",'Raw Data'!E353,IFERROR(INDEX('Reference Table'!$B$2:$B$32,MATCH(D353,'Reference Table'!$A$2:$A$32,0)),""))</f>
        <v>450</v>
      </c>
      <c r="F353">
        <f>IF('Raw Data'!F353&lt;&gt;"",'Raw Data'!F353,IFERROR(ROUND('Raw Data'!G353/E353,0),""))</f>
        <v>4</v>
      </c>
      <c r="G353">
        <f>IF('Raw Data'!G353&lt;&gt;"",'Raw Data'!G353,IFERROR(ROUND(E353*F353,2),""))</f>
        <v>1800</v>
      </c>
      <c r="H353" t="str">
        <f>'Raw Data'!H353</f>
        <v>Cash</v>
      </c>
      <c r="I353" t="str">
        <f>IF('Raw Data'!D353="",IF(D353="Unknown","Could not recover","Filled from Price lookup"),IF(TRIM('Raw Data'!D353)&lt;&gt;'Raw Data'!D353,"Trimmed whitespace","OK"))</f>
        <v>Trimmed whitespace</v>
      </c>
      <c r="J353" t="str">
        <f t="shared" si="5"/>
        <v>OK</v>
      </c>
    </row>
    <row r="354" spans="1:10">
      <c r="A354" t="str">
        <f>'Raw Data'!A354</f>
        <v>TXN_1478</v>
      </c>
      <c r="B354" s="1">
        <f>'Raw Data'!B354</f>
        <v>45663</v>
      </c>
      <c r="C354" t="str">
        <f>IFERROR(INDEX('Reference Table'!$C$2:$C$46,MATCH(D354,'Reference Table'!$A$2:$A$46,0)),"Unknown")</f>
        <v>Patisserie</v>
      </c>
      <c r="D354" t="str">
        <f t="array" ref="D354">IF(TRIM('Raw Data'!D354)&lt;&gt;"",TRIM('Raw Data'!D354),IFERROR(INDEX('Reference Table'!$A$2:$A$46,MATCH(VALUE('Raw Data'!E354),VALUE('Reference Table'!$B$2:$B$46),0)),"Unknown"))</f>
        <v>Pat_Cookie_Pack</v>
      </c>
      <c r="E354">
        <f>IF('Raw Data'!E354&lt;&gt;"",'Raw Data'!E354,IFERROR(INDEX('Reference Table'!$B$2:$B$32,MATCH(D354,'Reference Table'!$A$2:$A$32,0)),""))</f>
        <v>55</v>
      </c>
      <c r="F354">
        <f>IF('Raw Data'!F354&lt;&gt;"",'Raw Data'!F354,IFERROR(ROUND('Raw Data'!G354/E354,0),""))</f>
        <v>6</v>
      </c>
      <c r="G354">
        <f>IF('Raw Data'!G354&lt;&gt;"",'Raw Data'!G354,IFERROR(ROUND(E354*F354,2),""))</f>
        <v>330</v>
      </c>
      <c r="H354" t="str">
        <f>'Raw Data'!H354</f>
        <v>Mobile Payment</v>
      </c>
      <c r="I354" t="str">
        <f>IF('Raw Data'!D354="",IF(D354="Unknown","Could not recover","Filled from Price lookup"),IF(TRIM('Raw Data'!D354)&lt;&gt;'Raw Data'!D354,"Trimmed whitespace","OK"))</f>
        <v>OK</v>
      </c>
      <c r="J354" t="str">
        <f t="shared" si="5"/>
        <v>OK</v>
      </c>
    </row>
    <row r="355" spans="1:10">
      <c r="A355" t="str">
        <f>'Raw Data'!A355</f>
        <v>TXN_1105</v>
      </c>
      <c r="B355" s="1">
        <f>'Raw Data'!B355</f>
        <v>45825</v>
      </c>
      <c r="C355" t="str">
        <f>IFERROR(INDEX('Reference Table'!$C$2:$C$46,MATCH(D355,'Reference Table'!$A$2:$A$46,0)),"Unknown")</f>
        <v>Patisserie</v>
      </c>
      <c r="D355" t="str">
        <f t="array" ref="D355">IF(TRIM('Raw Data'!D355)&lt;&gt;"",TRIM('Raw Data'!D355),IFERROR(INDEX('Reference Table'!$A$2:$A$46,MATCH(VALUE('Raw Data'!E355),VALUE('Reference Table'!$B$2:$B$46),0)),"Unknown"))</f>
        <v>Pat_Croissant</v>
      </c>
      <c r="E355">
        <f>IF('Raw Data'!E355&lt;&gt;"",'Raw Data'!E355,IFERROR(INDEX('Reference Table'!$B$2:$B$32,MATCH(D355,'Reference Table'!$A$2:$A$32,0)),""))</f>
        <v>40</v>
      </c>
      <c r="F355">
        <f>IF('Raw Data'!F355&lt;&gt;"",'Raw Data'!F355,IFERROR(ROUND('Raw Data'!G355/E355,0),""))</f>
        <v>2</v>
      </c>
      <c r="G355">
        <f>IF('Raw Data'!G355&lt;&gt;"",'Raw Data'!G355,IFERROR(ROUND(E355*F355,2),""))</f>
        <v>80</v>
      </c>
      <c r="H355" t="str">
        <f>'Raw Data'!H355</f>
        <v>Cash</v>
      </c>
      <c r="I355" t="str">
        <f>IF('Raw Data'!D355="",IF(D355="Unknown","Could not recover","Filled from Price lookup"),IF(TRIM('Raw Data'!D355)&lt;&gt;'Raw Data'!D355,"Trimmed whitespace","OK"))</f>
        <v>OK</v>
      </c>
      <c r="J355" t="str">
        <f t="shared" si="5"/>
        <v>OK</v>
      </c>
    </row>
    <row r="356" spans="1:10">
      <c r="A356" t="str">
        <f>'Raw Data'!A356</f>
        <v>TXN_1580</v>
      </c>
      <c r="B356" s="1">
        <f>'Raw Data'!B356</f>
        <v>45855</v>
      </c>
      <c r="C356" t="str">
        <f>IFERROR(INDEX('Reference Table'!$C$2:$C$46,MATCH(D356,'Reference Table'!$A$2:$A$46,0)),"Unknown")</f>
        <v>Electric Accessories</v>
      </c>
      <c r="D356" t="str">
        <f t="array" ref="D356">IF(TRIM('Raw Data'!D356)&lt;&gt;"",TRIM('Raw Data'!D356),IFERROR(INDEX('Reference Table'!$A$2:$A$46,MATCH(VALUE('Raw Data'!E356),VALUE('Reference Table'!$B$2:$B$46),0)),"Unknown"))</f>
        <v>Elec_Cable_USB</v>
      </c>
      <c r="E356">
        <f>IF('Raw Data'!E356&lt;&gt;"",'Raw Data'!E356,IFERROR(INDEX('Reference Table'!$B$2:$B$32,MATCH(D356,'Reference Table'!$A$2:$A$32,0)),""))</f>
        <v>150</v>
      </c>
      <c r="F356">
        <f>IF('Raw Data'!F356&lt;&gt;"",'Raw Data'!F356,IFERROR(ROUND('Raw Data'!G356/E356,0),""))</f>
        <v>4</v>
      </c>
      <c r="G356">
        <f>IF('Raw Data'!G356&lt;&gt;"",'Raw Data'!G356,IFERROR(ROUND(E356*F356,2),""))</f>
        <v>900</v>
      </c>
      <c r="H356" t="str">
        <f>'Raw Data'!H356</f>
        <v>Credit Card</v>
      </c>
      <c r="I356" t="str">
        <f>IF('Raw Data'!D356="",IF(D356="Unknown","Could not recover","Filled from Price lookup"),IF(TRIM('Raw Data'!D356)&lt;&gt;'Raw Data'!D356,"Trimmed whitespace","OK"))</f>
        <v>OK</v>
      </c>
      <c r="J356" t="str">
        <f t="shared" si="5"/>
        <v>Mismatch</v>
      </c>
    </row>
    <row r="357" spans="1:10">
      <c r="A357" t="str">
        <f>'Raw Data'!A357</f>
        <v>TXN_1337</v>
      </c>
      <c r="B357" s="1">
        <f>'Raw Data'!B357</f>
        <v>45867</v>
      </c>
      <c r="C357" t="str">
        <f>IFERROR(INDEX('Reference Table'!$C$2:$C$46,MATCH(D357,'Reference Table'!$A$2:$A$46,0)),"Unknown")</f>
        <v>Food</v>
      </c>
      <c r="D357" t="str">
        <f t="array" ref="D357">IF(TRIM('Raw Data'!D357)&lt;&gt;"",TRIM('Raw Data'!D357),IFERROR(INDEX('Reference Table'!$A$2:$A$46,MATCH(VALUE('Raw Data'!E357),VALUE('Reference Table'!$B$2:$B$46),0)),"Unknown"))</f>
        <v>Food_Rice_1kg</v>
      </c>
      <c r="E357">
        <f>IF('Raw Data'!E357&lt;&gt;"",'Raw Data'!E357,IFERROR(INDEX('Reference Table'!$B$2:$B$32,MATCH(D357,'Reference Table'!$A$2:$A$32,0)),""))</f>
        <v>70</v>
      </c>
      <c r="F357">
        <f>IF('Raw Data'!F357&lt;&gt;"",'Raw Data'!F357,IFERROR(ROUND('Raw Data'!G357/E357,0),""))</f>
        <v>2</v>
      </c>
      <c r="G357">
        <f>IF('Raw Data'!G357&lt;&gt;"",'Raw Data'!G357,IFERROR(ROUND(E357*F357,2),""))</f>
        <v>140</v>
      </c>
      <c r="H357" t="str">
        <f>'Raw Data'!H357</f>
        <v>Mobile Payment</v>
      </c>
      <c r="I357" t="str">
        <f>IF('Raw Data'!D357="",IF(D357="Unknown","Could not recover","Filled from Price lookup"),IF(TRIM('Raw Data'!D357)&lt;&gt;'Raw Data'!D357,"Trimmed whitespace","OK"))</f>
        <v>OK</v>
      </c>
      <c r="J357" t="str">
        <f t="shared" si="5"/>
        <v>OK</v>
      </c>
    </row>
    <row r="358" spans="1:10">
      <c r="A358" t="str">
        <f>'Raw Data'!A358</f>
        <v>TXN_1013</v>
      </c>
      <c r="B358" s="1">
        <f>'Raw Data'!B358</f>
        <v>45752</v>
      </c>
      <c r="C358" t="str">
        <f>IFERROR(INDEX('Reference Table'!$C$2:$C$46,MATCH(D358,'Reference Table'!$A$2:$A$46,0)),"Unknown")</f>
        <v>Butchers</v>
      </c>
      <c r="D358" t="str">
        <f t="array" ref="D358">IF(TRIM('Raw Data'!D358)&lt;&gt;"",TRIM('Raw Data'!D358),IFERROR(INDEX('Reference Table'!$A$2:$A$46,MATCH(VALUE('Raw Data'!E358),VALUE('Reference Table'!$B$2:$B$46),0)),"Unknown"))</f>
        <v>Meat_Eggs_Dozen</v>
      </c>
      <c r="E358">
        <f>IF('Raw Data'!E358&lt;&gt;"",'Raw Data'!E358,IFERROR(INDEX('Reference Table'!$B$2:$B$32,MATCH(D358,'Reference Table'!$A$2:$A$32,0)),""))</f>
        <v>75</v>
      </c>
      <c r="F358">
        <f>IF('Raw Data'!F358&lt;&gt;"",'Raw Data'!F358,IFERROR(ROUND('Raw Data'!G358/E358,0),""))</f>
        <v>2</v>
      </c>
      <c r="G358">
        <f>IF('Raw Data'!G358&lt;&gt;"",'Raw Data'!G358,IFERROR(ROUND(E358*F358,2),""))</f>
        <v>150</v>
      </c>
      <c r="H358" t="str">
        <f>'Raw Data'!H358</f>
        <v>Debit Card</v>
      </c>
      <c r="I358" t="str">
        <f>IF('Raw Data'!D358="",IF(D358="Unknown","Could not recover","Filled from Price lookup"),IF(TRIM('Raw Data'!D358)&lt;&gt;'Raw Data'!D358,"Trimmed whitespace","OK"))</f>
        <v>OK</v>
      </c>
      <c r="J358" t="str">
        <f t="shared" si="5"/>
        <v>OK</v>
      </c>
    </row>
    <row r="359" spans="1:10">
      <c r="A359" t="str">
        <f>'Raw Data'!A359</f>
        <v>TXN_1353</v>
      </c>
      <c r="B359" s="1">
        <f>'Raw Data'!B359</f>
        <v>45662</v>
      </c>
      <c r="C359" t="str">
        <f>IFERROR(INDEX('Reference Table'!$C$2:$C$46,MATCH(D359,'Reference Table'!$A$2:$A$46,0)),"Unknown")</f>
        <v>Patisserie</v>
      </c>
      <c r="D359" t="str">
        <f t="array" ref="D359">IF(TRIM('Raw Data'!D359)&lt;&gt;"",TRIM('Raw Data'!D359),IFERROR(INDEX('Reference Table'!$A$2:$A$46,MATCH(VALUE('Raw Data'!E359),VALUE('Reference Table'!$B$2:$B$46),0)),"Unknown"))</f>
        <v>Pat_Muffin</v>
      </c>
      <c r="E359">
        <f>IF('Raw Data'!E359&lt;&gt;"",'Raw Data'!E359,IFERROR(INDEX('Reference Table'!$B$2:$B$32,MATCH(D359,'Reference Table'!$A$2:$A$32,0)),""))</f>
        <v>35</v>
      </c>
      <c r="F359">
        <f>IF('Raw Data'!F359&lt;&gt;"",'Raw Data'!F359,IFERROR(ROUND('Raw Data'!G359/E359,0),""))</f>
        <v>6</v>
      </c>
      <c r="G359">
        <f>IF('Raw Data'!G359&lt;&gt;"",'Raw Data'!G359,IFERROR(ROUND(E359*F359,2),""))</f>
        <v>210</v>
      </c>
      <c r="H359" t="str">
        <f>'Raw Data'!H359</f>
        <v>Debit Card</v>
      </c>
      <c r="I359" t="str">
        <f>IF('Raw Data'!D359="",IF(D359="Unknown","Could not recover","Filled from Price lookup"),IF(TRIM('Raw Data'!D359)&lt;&gt;'Raw Data'!D359,"Trimmed whitespace","OK"))</f>
        <v>OK</v>
      </c>
      <c r="J359" t="str">
        <f t="shared" si="5"/>
        <v>OK</v>
      </c>
    </row>
    <row r="360" spans="1:10">
      <c r="A360" t="str">
        <f>'Raw Data'!A360</f>
        <v>TXN_1165</v>
      </c>
      <c r="B360" s="1">
        <f>'Raw Data'!B360</f>
        <v>45800</v>
      </c>
      <c r="C360" t="str">
        <f>IFERROR(INDEX('Reference Table'!$C$2:$C$46,MATCH(D360,'Reference Table'!$A$2:$A$46,0)),"Unknown")</f>
        <v>Patisserie</v>
      </c>
      <c r="D360" t="str">
        <f t="array" ref="D360">IF(TRIM('Raw Data'!D360)&lt;&gt;"",TRIM('Raw Data'!D360),IFERROR(INDEX('Reference Table'!$A$2:$A$46,MATCH(VALUE('Raw Data'!E360),VALUE('Reference Table'!$B$2:$B$46),0)),"Unknown"))</f>
        <v>Pat_Croissant</v>
      </c>
      <c r="E360">
        <f>IF('Raw Data'!E360&lt;&gt;"",'Raw Data'!E360,IFERROR(INDEX('Reference Table'!$B$2:$B$32,MATCH(D360,'Reference Table'!$A$2:$A$32,0)),""))</f>
        <v>40</v>
      </c>
      <c r="F360">
        <f>IF('Raw Data'!F360&lt;&gt;"",'Raw Data'!F360,IFERROR(ROUND('Raw Data'!G360/E360,0),""))</f>
        <v>1</v>
      </c>
      <c r="G360">
        <f>IF('Raw Data'!G360&lt;&gt;"",'Raw Data'!G360,IFERROR(ROUND(E360*F360,2),""))</f>
        <v>40</v>
      </c>
      <c r="H360" t="str">
        <f>'Raw Data'!H360</f>
        <v>Mobile Payment</v>
      </c>
      <c r="I360" t="str">
        <f>IF('Raw Data'!D360="",IF(D360="Unknown","Could not recover","Filled from Price lookup"),IF(TRIM('Raw Data'!D360)&lt;&gt;'Raw Data'!D360,"Trimmed whitespace","OK"))</f>
        <v>OK</v>
      </c>
      <c r="J360" t="str">
        <f t="shared" si="5"/>
        <v>OK</v>
      </c>
    </row>
    <row r="361" spans="1:10">
      <c r="A361" t="str">
        <f>'Raw Data'!A361</f>
        <v>TXN_1311</v>
      </c>
      <c r="B361" s="1">
        <f>'Raw Data'!B361</f>
        <v>45706</v>
      </c>
      <c r="C361" t="str">
        <f>IFERROR(INDEX('Reference Table'!$C$2:$C$46,MATCH(D361,'Reference Table'!$A$2:$A$46,0)),"Unknown")</f>
        <v>Furniture</v>
      </c>
      <c r="D361" t="str">
        <f t="array" ref="D361">IF(TRIM('Raw Data'!D361)&lt;&gt;"",TRIM('Raw Data'!D361),IFERROR(INDEX('Reference Table'!$A$2:$A$46,MATCH(VALUE('Raw Data'!E361),VALUE('Reference Table'!$B$2:$B$46),0)),"Unknown"))</f>
        <v>Furn_Small_Table</v>
      </c>
      <c r="E361">
        <f>IF('Raw Data'!E361&lt;&gt;"",'Raw Data'!E361,IFERROR(INDEX('Reference Table'!$B$2:$B$32,MATCH(D361,'Reference Table'!$A$2:$A$32,0)),""))</f>
        <v>3200</v>
      </c>
      <c r="F361">
        <f>IF('Raw Data'!F361&lt;&gt;"",'Raw Data'!F361,IFERROR(ROUND('Raw Data'!G361/E361,0),""))</f>
        <v>6</v>
      </c>
      <c r="G361">
        <f>IF('Raw Data'!G361&lt;&gt;"",'Raw Data'!G361,IFERROR(ROUND(E361*F361,2),""))</f>
        <v>19200</v>
      </c>
      <c r="H361" t="str">
        <f>'Raw Data'!H361</f>
        <v>Debit Card</v>
      </c>
      <c r="I361" t="str">
        <f>IF('Raw Data'!D361="",IF(D361="Unknown","Could not recover","Filled from Price lookup"),IF(TRIM('Raw Data'!D361)&lt;&gt;'Raw Data'!D361,"Trimmed whitespace","OK"))</f>
        <v>OK</v>
      </c>
      <c r="J361" t="str">
        <f t="shared" si="5"/>
        <v>OK</v>
      </c>
    </row>
    <row r="362" spans="1:10">
      <c r="A362" t="str">
        <f>'Raw Data'!A362</f>
        <v>TXN_1361</v>
      </c>
      <c r="B362" s="1">
        <f>'Raw Data'!B362</f>
        <v>45749</v>
      </c>
      <c r="C362" t="str">
        <f>IFERROR(INDEX('Reference Table'!$C$2:$C$46,MATCH(D362,'Reference Table'!$A$2:$A$46,0)),"Unknown")</f>
        <v>Milk Products</v>
      </c>
      <c r="D362" t="str">
        <f t="array" ref="D362">IF(TRIM('Raw Data'!D362)&lt;&gt;"",TRIM('Raw Data'!D362),IFERROR(INDEX('Reference Table'!$A$2:$A$46,MATCH(VALUE('Raw Data'!E362),VALUE('Reference Table'!$B$2:$B$46),0)),"Unknown"))</f>
        <v>Milk_Yogurt_400g</v>
      </c>
      <c r="E362">
        <f>IF('Raw Data'!E362&lt;&gt;"",'Raw Data'!E362,IFERROR(INDEX('Reference Table'!$B$2:$B$32,MATCH(D362,'Reference Table'!$A$2:$A$32,0)),""))</f>
        <v>60</v>
      </c>
      <c r="F362">
        <f>IF('Raw Data'!F362&lt;&gt;"",'Raw Data'!F362,IFERROR(ROUND('Raw Data'!G362/E362,0),""))</f>
        <v>3</v>
      </c>
      <c r="G362">
        <f>IF('Raw Data'!G362&lt;&gt;"",'Raw Data'!G362,IFERROR(ROUND(E362*F362,2),""))</f>
        <v>180</v>
      </c>
      <c r="H362" t="str">
        <f>'Raw Data'!H362</f>
        <v>Cash</v>
      </c>
      <c r="I362" t="str">
        <f>IF('Raw Data'!D362="",IF(D362="Unknown","Could not recover","Filled from Price lookup"),IF(TRIM('Raw Data'!D362)&lt;&gt;'Raw Data'!D362,"Trimmed whitespace","OK"))</f>
        <v>OK</v>
      </c>
      <c r="J362" t="str">
        <f t="shared" si="5"/>
        <v>OK</v>
      </c>
    </row>
    <row r="363" spans="1:10">
      <c r="A363" t="str">
        <f>'Raw Data'!A363</f>
        <v>TXN_1307</v>
      </c>
      <c r="B363" s="1">
        <f>'Raw Data'!B363</f>
        <v>45809</v>
      </c>
      <c r="C363" t="str">
        <f>IFERROR(INDEX('Reference Table'!$C$2:$C$46,MATCH(D363,'Reference Table'!$A$2:$A$46,0)),"Unknown")</f>
        <v>Patisserie</v>
      </c>
      <c r="D363" t="str">
        <f t="array" ref="D363">IF(TRIM('Raw Data'!D363)&lt;&gt;"",TRIM('Raw Data'!D363),IFERROR(INDEX('Reference Table'!$A$2:$A$46,MATCH(VALUE('Raw Data'!E363),VALUE('Reference Table'!$B$2:$B$46),0)),"Unknown"))</f>
        <v>Pat_Cookie_Pack</v>
      </c>
      <c r="E363">
        <f>IF('Raw Data'!E363&lt;&gt;"",'Raw Data'!E363,IFERROR(INDEX('Reference Table'!$B$2:$B$32,MATCH(D363,'Reference Table'!$A$2:$A$32,0)),""))</f>
        <v>55</v>
      </c>
      <c r="F363">
        <f>IF('Raw Data'!F363&lt;&gt;"",'Raw Data'!F363,IFERROR(ROUND('Raw Data'!G363/E363,0),""))</f>
        <v>3</v>
      </c>
      <c r="G363">
        <f>IF('Raw Data'!G363&lt;&gt;"",'Raw Data'!G363,IFERROR(ROUND(E363*F363,2),""))</f>
        <v>247.5</v>
      </c>
      <c r="H363" t="str">
        <f>'Raw Data'!H363</f>
        <v>Cash</v>
      </c>
      <c r="I363" t="str">
        <f>IF('Raw Data'!D363="",IF(D363="Unknown","Could not recover","Filled from Price lookup"),IF(TRIM('Raw Data'!D363)&lt;&gt;'Raw Data'!D363,"Trimmed whitespace","OK"))</f>
        <v>OK</v>
      </c>
      <c r="J363" t="str">
        <f t="shared" si="5"/>
        <v>Mismatch</v>
      </c>
    </row>
    <row r="364" spans="1:10">
      <c r="A364" t="str">
        <f>'Raw Data'!A364</f>
        <v>TXN_1536</v>
      </c>
      <c r="B364" s="1">
        <f>'Raw Data'!B364</f>
        <v>45893</v>
      </c>
      <c r="C364" t="str">
        <f>IFERROR(INDEX('Reference Table'!$C$2:$C$46,MATCH(D364,'Reference Table'!$A$2:$A$46,0)),"Unknown")</f>
        <v>Food</v>
      </c>
      <c r="D364" t="str">
        <f t="array" ref="D364">IF(TRIM('Raw Data'!D364)&lt;&gt;"",TRIM('Raw Data'!D364),IFERROR(INDEX('Reference Table'!$A$2:$A$46,MATCH(VALUE('Raw Data'!E364),VALUE('Reference Table'!$B$2:$B$46),0)),"Unknown"))</f>
        <v>Food_Wheat_1kg</v>
      </c>
      <c r="E364">
        <f>IF('Raw Data'!E364&lt;&gt;"",'Raw Data'!E364,IFERROR(INDEX('Reference Table'!$B$2:$B$32,MATCH(D364,'Reference Table'!$A$2:$A$32,0)),""))</f>
        <v>55</v>
      </c>
      <c r="F364">
        <f>IF('Raw Data'!F364&lt;&gt;"",'Raw Data'!F364,IFERROR(ROUND('Raw Data'!G364/E364,0),""))</f>
        <v>5</v>
      </c>
      <c r="G364">
        <f>IF('Raw Data'!G364&lt;&gt;"",'Raw Data'!G364,IFERROR(ROUND(E364*F364,2),""))</f>
        <v>275</v>
      </c>
      <c r="H364" t="str">
        <f>'Raw Data'!H364</f>
        <v>Cash</v>
      </c>
      <c r="I364" t="str">
        <f>IF('Raw Data'!D364="",IF(D364="Unknown","Could not recover","Filled from Price lookup"),IF(TRIM('Raw Data'!D364)&lt;&gt;'Raw Data'!D364,"Trimmed whitespace","OK"))</f>
        <v>OK</v>
      </c>
      <c r="J364" t="str">
        <f t="shared" si="5"/>
        <v>OK</v>
      </c>
    </row>
    <row r="365" spans="1:10">
      <c r="A365" t="str">
        <f>'Raw Data'!A365</f>
        <v>TXN_1127</v>
      </c>
      <c r="B365" s="1">
        <f>'Raw Data'!B365</f>
        <v>45850</v>
      </c>
      <c r="C365" t="str">
        <f>IFERROR(INDEX('Reference Table'!$C$2:$C$46,MATCH(D365,'Reference Table'!$A$2:$A$46,0)),"Unknown")</f>
        <v>Butchers</v>
      </c>
      <c r="D365" t="str">
        <f t="array" ref="D365">IF(TRIM('Raw Data'!D365)&lt;&gt;"",TRIM('Raw Data'!D365),IFERROR(INDEX('Reference Table'!$A$2:$A$46,MATCH(VALUE('Raw Data'!E365),VALUE('Reference Table'!$B$2:$B$46),0)),"Unknown"))</f>
        <v>Meat_Bacon_250g</v>
      </c>
      <c r="E365">
        <f>IF('Raw Data'!E365&lt;&gt;"",'Raw Data'!E365,IFERROR(INDEX('Reference Table'!$B$2:$B$32,MATCH(D365,'Reference Table'!$A$2:$A$32,0)),""))</f>
        <v>190</v>
      </c>
      <c r="F365">
        <f>IF('Raw Data'!F365&lt;&gt;"",'Raw Data'!F365,IFERROR(ROUND('Raw Data'!G365/E365,0),""))</f>
        <v>3</v>
      </c>
      <c r="G365">
        <f>IF('Raw Data'!G365&lt;&gt;"",'Raw Data'!G365,IFERROR(ROUND(E365*F365,2),""))</f>
        <v>570</v>
      </c>
      <c r="H365" t="str">
        <f>'Raw Data'!H365</f>
        <v>Mobile Payment</v>
      </c>
      <c r="I365" t="str">
        <f>IF('Raw Data'!D365="",IF(D365="Unknown","Could not recover","Filled from Price lookup"),IF(TRIM('Raw Data'!D365)&lt;&gt;'Raw Data'!D365,"Trimmed whitespace","OK"))</f>
        <v>OK</v>
      </c>
      <c r="J365" t="str">
        <f t="shared" si="5"/>
        <v>OK</v>
      </c>
    </row>
    <row r="366" spans="1:10">
      <c r="A366" t="str">
        <f>'Raw Data'!A366</f>
        <v>TXN_1043</v>
      </c>
      <c r="B366" s="1">
        <f>'Raw Data'!B366</f>
        <v>45676</v>
      </c>
      <c r="C366" t="str">
        <f>IFERROR(INDEX('Reference Table'!$C$2:$C$46,MATCH(D366,'Reference Table'!$A$2:$A$46,0)),"Unknown")</f>
        <v>Beverages</v>
      </c>
      <c r="D366" t="str">
        <f t="array" ref="D366">IF(TRIM('Raw Data'!D366)&lt;&gt;"",TRIM('Raw Data'!D366),IFERROR(INDEX('Reference Table'!$A$2:$A$46,MATCH(VALUE('Raw Data'!E366),VALUE('Reference Table'!$B$2:$B$46),0)),"Unknown"))</f>
        <v>Bev_Water_1L</v>
      </c>
      <c r="E366">
        <f>IF('Raw Data'!E366&lt;&gt;"",'Raw Data'!E366,IFERROR(INDEX('Reference Table'!$B$2:$B$32,MATCH(D366,'Reference Table'!$A$2:$A$32,0)),""))</f>
        <v>20</v>
      </c>
      <c r="F366">
        <f>IF('Raw Data'!F366&lt;&gt;"",'Raw Data'!F366,IFERROR(ROUND('Raw Data'!G366/E366,0),""))</f>
        <v>3</v>
      </c>
      <c r="G366">
        <f>IF('Raw Data'!G366&lt;&gt;"",'Raw Data'!G366,IFERROR(ROUND(E366*F366,2),""))</f>
        <v>60</v>
      </c>
      <c r="H366" t="str">
        <f>'Raw Data'!H366</f>
        <v>Credit Card</v>
      </c>
      <c r="I366" t="str">
        <f>IF('Raw Data'!D366="",IF(D366="Unknown","Could not recover","Filled from Price lookup"),IF(TRIM('Raw Data'!D366)&lt;&gt;'Raw Data'!D366,"Trimmed whitespace","OK"))</f>
        <v>OK</v>
      </c>
      <c r="J366" t="str">
        <f t="shared" si="5"/>
        <v>OK</v>
      </c>
    </row>
    <row r="367" spans="1:10">
      <c r="A367" t="str">
        <f>'Raw Data'!A367</f>
        <v>TXN_1330</v>
      </c>
      <c r="B367" s="1">
        <f>'Raw Data'!B367</f>
        <v>45865</v>
      </c>
      <c r="C367" t="str">
        <f>IFERROR(INDEX('Reference Table'!$C$2:$C$46,MATCH(D367,'Reference Table'!$A$2:$A$46,0)),"Unknown")</f>
        <v>Patisserie</v>
      </c>
      <c r="D367" t="str">
        <f t="array" ref="D367">IF(TRIM('Raw Data'!D367)&lt;&gt;"",TRIM('Raw Data'!D367),IFERROR(INDEX('Reference Table'!$A$2:$A$46,MATCH(VALUE('Raw Data'!E367),VALUE('Reference Table'!$B$2:$B$46),0)),"Unknown"))</f>
        <v>Pat_Croissant</v>
      </c>
      <c r="E367">
        <f>IF('Raw Data'!E367&lt;&gt;"",'Raw Data'!E367,IFERROR(INDEX('Reference Table'!$B$2:$B$32,MATCH(D367,'Reference Table'!$A$2:$A$32,0)),""))</f>
        <v>40</v>
      </c>
      <c r="F367">
        <f>IF('Raw Data'!F367&lt;&gt;"",'Raw Data'!F367,IFERROR(ROUND('Raw Data'!G367/E367,0),""))</f>
        <v>3</v>
      </c>
      <c r="G367">
        <f>IF('Raw Data'!G367&lt;&gt;"",'Raw Data'!G367,IFERROR(ROUND(E367*F367,2),""))</f>
        <v>120</v>
      </c>
      <c r="H367" t="str">
        <f>'Raw Data'!H367</f>
        <v>Mobile Payment</v>
      </c>
      <c r="I367" t="str">
        <f>IF('Raw Data'!D367="",IF(D367="Unknown","Could not recover","Filled from Price lookup"),IF(TRIM('Raw Data'!D367)&lt;&gt;'Raw Data'!D367,"Trimmed whitespace","OK"))</f>
        <v>OK</v>
      </c>
      <c r="J367" t="str">
        <f t="shared" si="5"/>
        <v>OK</v>
      </c>
    </row>
    <row r="368" spans="1:10">
      <c r="A368" t="str">
        <f>'Raw Data'!A368</f>
        <v>TXN_1141</v>
      </c>
      <c r="B368" s="1">
        <f>'Raw Data'!B368</f>
        <v>45697</v>
      </c>
      <c r="C368" t="str">
        <f>IFERROR(INDEX('Reference Table'!$C$2:$C$46,MATCH(D368,'Reference Table'!$A$2:$A$46,0)),"Unknown")</f>
        <v>Electric Accessories</v>
      </c>
      <c r="D368" t="str">
        <f t="array" ref="D368">IF(TRIM('Raw Data'!D368)&lt;&gt;"",TRIM('Raw Data'!D368),IFERROR(INDEX('Reference Table'!$A$2:$A$46,MATCH(VALUE('Raw Data'!E368),VALUE('Reference Table'!$B$2:$B$46),0)),"Unknown"))</f>
        <v>Elec_Powerbank</v>
      </c>
      <c r="E368" t="str">
        <f>IF('Raw Data'!E368&lt;&gt;"",'Raw Data'!E368,IFERROR(INDEX('Reference Table'!$B$2:$B$32,MATCH(D368,'Reference Table'!$A$2:$A$32,0)),""))</f>
        <v/>
      </c>
      <c r="F368">
        <f>IF('Raw Data'!F368&lt;&gt;"",'Raw Data'!F368,IFERROR(ROUND('Raw Data'!G368/E368,0),""))</f>
        <v>6</v>
      </c>
      <c r="G368">
        <f>IF('Raw Data'!G368&lt;&gt;"",'Raw Data'!G368,IFERROR(ROUND(E368*F368,2),""))</f>
        <v>5400</v>
      </c>
      <c r="H368" t="str">
        <f>'Raw Data'!H368</f>
        <v>Mobile Payment</v>
      </c>
      <c r="I368" t="str">
        <f>IF('Raw Data'!D368="",IF(D368="Unknown","Could not recover","Filled from Price lookup"),IF(TRIM('Raw Data'!D368)&lt;&gt;'Raw Data'!D368,"Trimmed whitespace","OK"))</f>
        <v>OK</v>
      </c>
      <c r="J368" t="str">
        <f t="shared" si="5"/>
        <v>Incomplete</v>
      </c>
    </row>
    <row r="369" spans="1:10">
      <c r="A369" t="str">
        <f>'Raw Data'!A369</f>
        <v>TXN_1126</v>
      </c>
      <c r="B369" s="1">
        <f>'Raw Data'!B369</f>
        <v>45741</v>
      </c>
      <c r="C369" t="str">
        <f>IFERROR(INDEX('Reference Table'!$C$2:$C$46,MATCH(D369,'Reference Table'!$A$2:$A$46,0)),"Unknown")</f>
        <v>Milk Products</v>
      </c>
      <c r="D369" t="str">
        <f t="array" ref="D369">IF(TRIM('Raw Data'!D369)&lt;&gt;"",TRIM('Raw Data'!D369),IFERROR(INDEX('Reference Table'!$A$2:$A$46,MATCH(VALUE('Raw Data'!E369),VALUE('Reference Table'!$B$2:$B$46),0)),"Unknown"))</f>
        <v>Milk_Paneer_200g</v>
      </c>
      <c r="E369">
        <f>IF('Raw Data'!E369&lt;&gt;"",'Raw Data'!E369,IFERROR(INDEX('Reference Table'!$B$2:$B$32,MATCH(D369,'Reference Table'!$A$2:$A$32,0)),""))</f>
        <v>80</v>
      </c>
      <c r="F369">
        <f>IF('Raw Data'!F369&lt;&gt;"",'Raw Data'!F369,IFERROR(ROUND('Raw Data'!G369/E369,0),""))</f>
        <v>4</v>
      </c>
      <c r="G369">
        <f>IF('Raw Data'!G369&lt;&gt;"",'Raw Data'!G369,IFERROR(ROUND(E369*F369,2),""))</f>
        <v>320</v>
      </c>
      <c r="H369" t="str">
        <f>'Raw Data'!H369</f>
        <v>Debit Card</v>
      </c>
      <c r="I369" t="str">
        <f>IF('Raw Data'!D369="",IF(D369="Unknown","Could not recover","Filled from Price lookup"),IF(TRIM('Raw Data'!D369)&lt;&gt;'Raw Data'!D369,"Trimmed whitespace","OK"))</f>
        <v>OK</v>
      </c>
      <c r="J369" t="str">
        <f t="shared" si="5"/>
        <v>OK</v>
      </c>
    </row>
    <row r="370" spans="1:10">
      <c r="A370" t="str">
        <f>'Raw Data'!A370</f>
        <v>TXN_1376</v>
      </c>
      <c r="B370" s="1">
        <f>'Raw Data'!B370</f>
        <v>45759</v>
      </c>
      <c r="C370" t="str">
        <f>IFERROR(INDEX('Reference Table'!$C$2:$C$46,MATCH(D370,'Reference Table'!$A$2:$A$46,0)),"Unknown")</f>
        <v>Computers</v>
      </c>
      <c r="D370" t="str">
        <f t="array" ref="D370">IF(TRIM('Raw Data'!D370)&lt;&gt;"",TRIM('Raw Data'!D370),IFERROR(INDEX('Reference Table'!$A$2:$A$46,MATCH(VALUE('Raw Data'!E370),VALUE('Reference Table'!$B$2:$B$46),0)),"Unknown"))</f>
        <v>Comp_HDMI_Cable</v>
      </c>
      <c r="E370">
        <f>IF('Raw Data'!E370&lt;&gt;"",'Raw Data'!E370,IFERROR(INDEX('Reference Table'!$B$2:$B$32,MATCH(D370,'Reference Table'!$A$2:$A$32,0)),""))</f>
        <v>300</v>
      </c>
      <c r="F370">
        <f>IF('Raw Data'!F370&lt;&gt;"",'Raw Data'!F370,IFERROR(ROUND('Raw Data'!G370/E370,0),""))</f>
        <v>3</v>
      </c>
      <c r="G370">
        <f>IF('Raw Data'!G370&lt;&gt;"",'Raw Data'!G370,IFERROR(ROUND(E370*F370,2),""))</f>
        <v>900</v>
      </c>
      <c r="H370" t="str">
        <f>'Raw Data'!H370</f>
        <v>Debit Card</v>
      </c>
      <c r="I370" t="str">
        <f>IF('Raw Data'!D370="",IF(D370="Unknown","Could not recover","Filled from Price lookup"),IF(TRIM('Raw Data'!D370)&lt;&gt;'Raw Data'!D370,"Trimmed whitespace","OK"))</f>
        <v>OK</v>
      </c>
      <c r="J370" t="str">
        <f t="shared" si="5"/>
        <v>OK</v>
      </c>
    </row>
    <row r="371" spans="1:10">
      <c r="A371" t="str">
        <f>'Raw Data'!A371</f>
        <v>TXN_1161</v>
      </c>
      <c r="B371" s="1">
        <f>'Raw Data'!B371</f>
        <v>45770</v>
      </c>
      <c r="C371" t="str">
        <f>IFERROR(INDEX('Reference Table'!$C$2:$C$46,MATCH(D371,'Reference Table'!$A$2:$A$46,0)),"Unknown")</f>
        <v>Computers</v>
      </c>
      <c r="D371" t="str">
        <f t="array" ref="D371">IF(TRIM('Raw Data'!D371)&lt;&gt;"",TRIM('Raw Data'!D371),IFERROR(INDEX('Reference Table'!$A$2:$A$46,MATCH(VALUE('Raw Data'!E371),VALUE('Reference Table'!$B$2:$B$46),0)),"Unknown"))</f>
        <v>Comp_Mouse</v>
      </c>
      <c r="E371">
        <f>IF('Raw Data'!E371&lt;&gt;"",'Raw Data'!E371,IFERROR(INDEX('Reference Table'!$B$2:$B$32,MATCH(D371,'Reference Table'!$A$2:$A$32,0)),""))</f>
        <v>500</v>
      </c>
      <c r="F371">
        <f>IF('Raw Data'!F371&lt;&gt;"",'Raw Data'!F371,IFERROR(ROUND('Raw Data'!G371/E371,0),""))</f>
        <v>4</v>
      </c>
      <c r="G371">
        <f>IF('Raw Data'!G371&lt;&gt;"",'Raw Data'!G371,IFERROR(ROUND(E371*F371,2),""))</f>
        <v>2000</v>
      </c>
      <c r="H371" t="str">
        <f>'Raw Data'!H371</f>
        <v>Debit Card</v>
      </c>
      <c r="I371" t="str">
        <f>IF('Raw Data'!D371="",IF(D371="Unknown","Could not recover","Filled from Price lookup"),IF(TRIM('Raw Data'!D371)&lt;&gt;'Raw Data'!D371,"Trimmed whitespace","OK"))</f>
        <v>OK</v>
      </c>
      <c r="J371" t="str">
        <f t="shared" si="5"/>
        <v>OK</v>
      </c>
    </row>
    <row r="372" spans="1:10">
      <c r="A372" t="str">
        <f>'Raw Data'!A372</f>
        <v>TXN_1440</v>
      </c>
      <c r="B372" s="1">
        <f>'Raw Data'!B372</f>
        <v>45838</v>
      </c>
      <c r="C372" t="str">
        <f>IFERROR(INDEX('Reference Table'!$C$2:$C$46,MATCH(D372,'Reference Table'!$A$2:$A$46,0)),"Unknown")</f>
        <v>Patisserie</v>
      </c>
      <c r="D372" t="str">
        <f t="array" ref="D372">IF(TRIM('Raw Data'!D372)&lt;&gt;"",TRIM('Raw Data'!D372),IFERROR(INDEX('Reference Table'!$A$2:$A$46,MATCH(VALUE('Raw Data'!E372),VALUE('Reference Table'!$B$2:$B$46),0)),"Unknown"))</f>
        <v>Pat_Cookie_Pack</v>
      </c>
      <c r="E372">
        <f>IF('Raw Data'!E372&lt;&gt;"",'Raw Data'!E372,IFERROR(INDEX('Reference Table'!$B$2:$B$32,MATCH(D372,'Reference Table'!$A$2:$A$32,0)),""))</f>
        <v>55</v>
      </c>
      <c r="F372">
        <f>IF('Raw Data'!F372&lt;&gt;"",'Raw Data'!F372,IFERROR(ROUND('Raw Data'!G372/E372,0),""))</f>
        <v>3</v>
      </c>
      <c r="G372">
        <f>IF('Raw Data'!G372&lt;&gt;"",'Raw Data'!G372,IFERROR(ROUND(E372*F372,2),""))</f>
        <v>165</v>
      </c>
      <c r="H372" t="str">
        <f>'Raw Data'!H372</f>
        <v>Credit Card</v>
      </c>
      <c r="I372" t="str">
        <f>IF('Raw Data'!D372="",IF(D372="Unknown","Could not recover","Filled from Price lookup"),IF(TRIM('Raw Data'!D372)&lt;&gt;'Raw Data'!D372,"Trimmed whitespace","OK"))</f>
        <v>OK</v>
      </c>
      <c r="J372" t="str">
        <f t="shared" si="5"/>
        <v>OK</v>
      </c>
    </row>
    <row r="373" spans="1:10">
      <c r="A373" t="str">
        <f>'Raw Data'!A373</f>
        <v>TXN_1389</v>
      </c>
      <c r="B373" s="1">
        <f>'Raw Data'!B373</f>
        <v>45676</v>
      </c>
      <c r="C373" t="str">
        <f>IFERROR(INDEX('Reference Table'!$C$2:$C$46,MATCH(D373,'Reference Table'!$A$2:$A$46,0)),"Unknown")</f>
        <v>Electric Accessories</v>
      </c>
      <c r="D373" t="str">
        <f t="array" ref="D373">IF(TRIM('Raw Data'!D373)&lt;&gt;"",TRIM('Raw Data'!D373),IFERROR(INDEX('Reference Table'!$A$2:$A$46,MATCH(VALUE('Raw Data'!E373),VALUE('Reference Table'!$B$2:$B$46),0)),"Unknown"))</f>
        <v>Elec_Charger</v>
      </c>
      <c r="E373">
        <f>IF('Raw Data'!E373&lt;&gt;"",'Raw Data'!E373,IFERROR(INDEX('Reference Table'!$B$2:$B$32,MATCH(D373,'Reference Table'!$A$2:$A$32,0)),""))</f>
        <v>400</v>
      </c>
      <c r="F373">
        <f>IF('Raw Data'!F373&lt;&gt;"",'Raw Data'!F373,IFERROR(ROUND('Raw Data'!G373/E373,0),""))</f>
        <v>5</v>
      </c>
      <c r="G373">
        <f>IF('Raw Data'!G373&lt;&gt;"",'Raw Data'!G373,IFERROR(ROUND(E373*F373,2),""))</f>
        <v>2000</v>
      </c>
      <c r="H373" t="str">
        <f>'Raw Data'!H373</f>
        <v>Credit Card</v>
      </c>
      <c r="I373" t="str">
        <f>IF('Raw Data'!D373="",IF(D373="Unknown","Could not recover","Filled from Price lookup"),IF(TRIM('Raw Data'!D373)&lt;&gt;'Raw Data'!D373,"Trimmed whitespace","OK"))</f>
        <v>OK</v>
      </c>
      <c r="J373" t="str">
        <f t="shared" si="5"/>
        <v>OK</v>
      </c>
    </row>
    <row r="374" spans="1:10">
      <c r="A374" t="str">
        <f>'Raw Data'!A374</f>
        <v>TXN_1413</v>
      </c>
      <c r="B374" s="1">
        <f>'Raw Data'!B374</f>
        <v>45681</v>
      </c>
      <c r="C374" t="str">
        <f>IFERROR(INDEX('Reference Table'!$C$2:$C$46,MATCH(D374,'Reference Table'!$A$2:$A$46,0)),"Unknown")</f>
        <v>Computers</v>
      </c>
      <c r="D374" t="str">
        <f t="array" ref="D374">IF(TRIM('Raw Data'!D374)&lt;&gt;"",TRIM('Raw Data'!D374),IFERROR(INDEX('Reference Table'!$A$2:$A$46,MATCH(VALUE('Raw Data'!E374),VALUE('Reference Table'!$B$2:$B$46),0)),"Unknown"))</f>
        <v>Comp_Keyboard</v>
      </c>
      <c r="E374">
        <f>IF('Raw Data'!E374&lt;&gt;"",'Raw Data'!E374,IFERROR(INDEX('Reference Table'!$B$2:$B$32,MATCH(D374,'Reference Table'!$A$2:$A$32,0)),""))</f>
        <v>800</v>
      </c>
      <c r="F374">
        <f>IF('Raw Data'!F374&lt;&gt;"",'Raw Data'!F374,IFERROR(ROUND('Raw Data'!G374/E374,0),""))</f>
        <v>1</v>
      </c>
      <c r="G374">
        <f>IF('Raw Data'!G374&lt;&gt;"",'Raw Data'!G374,IFERROR(ROUND(E374*F374,2),""))</f>
        <v>800</v>
      </c>
      <c r="H374" t="str">
        <f>'Raw Data'!H374</f>
        <v>Mobile Payment</v>
      </c>
      <c r="I374" t="str">
        <f>IF('Raw Data'!D374="",IF(D374="Unknown","Could not recover","Filled from Price lookup"),IF(TRIM('Raw Data'!D374)&lt;&gt;'Raw Data'!D374,"Trimmed whitespace","OK"))</f>
        <v>OK</v>
      </c>
      <c r="J374" t="str">
        <f t="shared" si="5"/>
        <v>OK</v>
      </c>
    </row>
    <row r="375" spans="1:10">
      <c r="A375" t="str">
        <f>'Raw Data'!A375</f>
        <v>TXN_1373</v>
      </c>
      <c r="B375" s="1">
        <f>'Raw Data'!B375</f>
        <v>45857</v>
      </c>
      <c r="C375" t="str">
        <f>IFERROR(INDEX('Reference Table'!$C$2:$C$46,MATCH(D375,'Reference Table'!$A$2:$A$46,0)),"Unknown")</f>
        <v>Beverages</v>
      </c>
      <c r="D375" t="str">
        <f t="array" ref="D375">IF(TRIM('Raw Data'!D375)&lt;&gt;"",TRIM('Raw Data'!D375),IFERROR(INDEX('Reference Table'!$A$2:$A$46,MATCH(VALUE('Raw Data'!E375),VALUE('Reference Table'!$B$2:$B$46),0)),"Unknown"))</f>
        <v>Bev_Tea_100g</v>
      </c>
      <c r="E375">
        <f>IF('Raw Data'!E375&lt;&gt;"",'Raw Data'!E375,IFERROR(INDEX('Reference Table'!$B$2:$B$32,MATCH(D375,'Reference Table'!$A$2:$A$32,0)),""))</f>
        <v>90</v>
      </c>
      <c r="F375">
        <f>IF('Raw Data'!F375&lt;&gt;"",'Raw Data'!F375,IFERROR(ROUND('Raw Data'!G375/E375,0),""))</f>
        <v>2</v>
      </c>
      <c r="G375">
        <f>IF('Raw Data'!G375&lt;&gt;"",'Raw Data'!G375,IFERROR(ROUND(E375*F375,2),""))</f>
        <v>270</v>
      </c>
      <c r="H375" t="str">
        <f>'Raw Data'!H375</f>
        <v>Debit Card</v>
      </c>
      <c r="I375" t="str">
        <f>IF('Raw Data'!D375="",IF(D375="Unknown","Could not recover","Filled from Price lookup"),IF(TRIM('Raw Data'!D375)&lt;&gt;'Raw Data'!D375,"Trimmed whitespace","OK"))</f>
        <v>OK</v>
      </c>
      <c r="J375" t="str">
        <f t="shared" si="5"/>
        <v>Mismatch</v>
      </c>
    </row>
    <row r="376" spans="1:10">
      <c r="A376" t="str">
        <f>'Raw Data'!A376</f>
        <v>TXN_1301</v>
      </c>
      <c r="B376" s="1">
        <f>'Raw Data'!B376</f>
        <v>45788</v>
      </c>
      <c r="C376" t="str">
        <f>IFERROR(INDEX('Reference Table'!$C$2:$C$46,MATCH(D376,'Reference Table'!$A$2:$A$46,0)),"Unknown")</f>
        <v>Milk Products</v>
      </c>
      <c r="D376" t="str">
        <f t="array" ref="D376">IF(TRIM('Raw Data'!D376)&lt;&gt;"",TRIM('Raw Data'!D376),IFERROR(INDEX('Reference Table'!$A$2:$A$46,MATCH(VALUE('Raw Data'!E376),VALUE('Reference Table'!$B$2:$B$46),0)),"Unknown"))</f>
        <v>Milk_Cheese_200g</v>
      </c>
      <c r="E376">
        <f>IF('Raw Data'!E376&lt;&gt;"",'Raw Data'!E376,IFERROR(INDEX('Reference Table'!$B$2:$B$32,MATCH(D376,'Reference Table'!$A$2:$A$32,0)),""))</f>
        <v>110</v>
      </c>
      <c r="F376">
        <f>IF('Raw Data'!F376&lt;&gt;"",'Raw Data'!F376,IFERROR(ROUND('Raw Data'!G376/E376,0),""))</f>
        <v>1</v>
      </c>
      <c r="G376">
        <f>IF('Raw Data'!G376&lt;&gt;"",'Raw Data'!G376,IFERROR(ROUND(E376*F376,2),""))</f>
        <v>110</v>
      </c>
      <c r="H376" t="str">
        <f>'Raw Data'!H376</f>
        <v>Cash</v>
      </c>
      <c r="I376" t="str">
        <f>IF('Raw Data'!D376="",IF(D376="Unknown","Could not recover","Filled from Price lookup"),IF(TRIM('Raw Data'!D376)&lt;&gt;'Raw Data'!D376,"Trimmed whitespace","OK"))</f>
        <v>OK</v>
      </c>
      <c r="J376" t="str">
        <f t="shared" si="5"/>
        <v>OK</v>
      </c>
    </row>
    <row r="377" spans="1:10">
      <c r="A377" t="str">
        <f>'Raw Data'!A377</f>
        <v>TXN_1475</v>
      </c>
      <c r="B377" s="1">
        <f>'Raw Data'!B377</f>
        <v>45807</v>
      </c>
      <c r="C377" t="str">
        <f>IFERROR(INDEX('Reference Table'!$C$2:$C$46,MATCH(D377,'Reference Table'!$A$2:$A$46,0)),"Unknown")</f>
        <v>Milk Products</v>
      </c>
      <c r="D377" t="str">
        <f t="array" ref="D377">IF(TRIM('Raw Data'!D377)&lt;&gt;"",TRIM('Raw Data'!D377),IFERROR(INDEX('Reference Table'!$A$2:$A$46,MATCH(VALUE('Raw Data'!E377),VALUE('Reference Table'!$B$2:$B$46),0)),"Unknown"))</f>
        <v>Milk_Paneer_200g</v>
      </c>
      <c r="E377">
        <f>IF('Raw Data'!E377&lt;&gt;"",'Raw Data'!E377,IFERROR(INDEX('Reference Table'!$B$2:$B$32,MATCH(D377,'Reference Table'!$A$2:$A$32,0)),""))</f>
        <v>80</v>
      </c>
      <c r="F377">
        <f>IF('Raw Data'!F377&lt;&gt;"",'Raw Data'!F377,IFERROR(ROUND('Raw Data'!G377/E377,0),""))</f>
        <v>6</v>
      </c>
      <c r="G377">
        <f>IF('Raw Data'!G377&lt;&gt;"",'Raw Data'!G377,IFERROR(ROUND(E377*F377,2),""))</f>
        <v>480</v>
      </c>
      <c r="H377" t="str">
        <f>'Raw Data'!H377</f>
        <v>Mobile Payment</v>
      </c>
      <c r="I377" t="str">
        <f>IF('Raw Data'!D377="",IF(D377="Unknown","Could not recover","Filled from Price lookup"),IF(TRIM('Raw Data'!D377)&lt;&gt;'Raw Data'!D377,"Trimmed whitespace","OK"))</f>
        <v>Filled from Price lookup</v>
      </c>
      <c r="J377" t="str">
        <f t="shared" si="5"/>
        <v>OK</v>
      </c>
    </row>
    <row r="378" spans="1:10">
      <c r="A378" t="str">
        <f>'Raw Data'!A378</f>
        <v>TXN_1071</v>
      </c>
      <c r="B378" s="1">
        <f>'Raw Data'!B378</f>
        <v>45820</v>
      </c>
      <c r="C378" t="str">
        <f>IFERROR(INDEX('Reference Table'!$C$2:$C$46,MATCH(D378,'Reference Table'!$A$2:$A$46,0)),"Unknown")</f>
        <v>Milk Products</v>
      </c>
      <c r="D378" t="str">
        <f t="array" ref="D378">IF(TRIM('Raw Data'!D378)&lt;&gt;"",TRIM('Raw Data'!D378),IFERROR(INDEX('Reference Table'!$A$2:$A$46,MATCH(VALUE('Raw Data'!E378),VALUE('Reference Table'!$B$2:$B$46),0)),"Unknown"))</f>
        <v>Milk_Paneer_200g</v>
      </c>
      <c r="E378">
        <f>IF('Raw Data'!E378&lt;&gt;"",'Raw Data'!E378,IFERROR(INDEX('Reference Table'!$B$2:$B$32,MATCH(D378,'Reference Table'!$A$2:$A$32,0)),""))</f>
        <v>80</v>
      </c>
      <c r="F378">
        <f>IF('Raw Data'!F378&lt;&gt;"",'Raw Data'!F378,IFERROR(ROUND('Raw Data'!G378/E378,0),""))</f>
        <v>6</v>
      </c>
      <c r="G378">
        <f>IF('Raw Data'!G378&lt;&gt;"",'Raw Data'!G378,IFERROR(ROUND(E378*F378,2),""))</f>
        <v>480</v>
      </c>
      <c r="H378" t="str">
        <f>'Raw Data'!H378</f>
        <v>Debit Card</v>
      </c>
      <c r="I378" t="str">
        <f>IF('Raw Data'!D378="",IF(D378="Unknown","Could not recover","Filled from Price lookup"),IF(TRIM('Raw Data'!D378)&lt;&gt;'Raw Data'!D378,"Trimmed whitespace","OK"))</f>
        <v>OK</v>
      </c>
      <c r="J378" t="str">
        <f t="shared" si="5"/>
        <v>OK</v>
      </c>
    </row>
    <row r="379" spans="1:10">
      <c r="A379" t="str">
        <f>'Raw Data'!A379</f>
        <v>TXN_1051</v>
      </c>
      <c r="B379" s="1">
        <f>'Raw Data'!B379</f>
        <v>45771</v>
      </c>
      <c r="C379" t="str">
        <f>IFERROR(INDEX('Reference Table'!$C$2:$C$46,MATCH(D379,'Reference Table'!$A$2:$A$46,0)),"Unknown")</f>
        <v>Patisserie</v>
      </c>
      <c r="D379" t="str">
        <f t="array" ref="D379">IF(TRIM('Raw Data'!D379)&lt;&gt;"",TRIM('Raw Data'!D379),IFERROR(INDEX('Reference Table'!$A$2:$A$46,MATCH(VALUE('Raw Data'!E379),VALUE('Reference Table'!$B$2:$B$46),0)),"Unknown"))</f>
        <v>Pat_Croissant</v>
      </c>
      <c r="E379">
        <f>IF('Raw Data'!E379&lt;&gt;"",'Raw Data'!E379,IFERROR(INDEX('Reference Table'!$B$2:$B$32,MATCH(D379,'Reference Table'!$A$2:$A$32,0)),""))</f>
        <v>40</v>
      </c>
      <c r="F379">
        <f>IF('Raw Data'!F379&lt;&gt;"",'Raw Data'!F379,IFERROR(ROUND('Raw Data'!G379/E379,0),""))</f>
        <v>1</v>
      </c>
      <c r="G379">
        <f>IF('Raw Data'!G379&lt;&gt;"",'Raw Data'!G379,IFERROR(ROUND(E379*F379,2),""))</f>
        <v>40</v>
      </c>
      <c r="H379" t="str">
        <f>'Raw Data'!H379</f>
        <v>Cash</v>
      </c>
      <c r="I379" t="str">
        <f>IF('Raw Data'!D379="",IF(D379="Unknown","Could not recover","Filled from Price lookup"),IF(TRIM('Raw Data'!D379)&lt;&gt;'Raw Data'!D379,"Trimmed whitespace","OK"))</f>
        <v>Filled from Price lookup</v>
      </c>
      <c r="J379" t="str">
        <f t="shared" si="5"/>
        <v>OK</v>
      </c>
    </row>
    <row r="380" spans="1:10">
      <c r="A380" t="str">
        <f>'Raw Data'!A380</f>
        <v>TXN_1044</v>
      </c>
      <c r="B380" s="1">
        <f>'Raw Data'!B380</f>
        <v>45796</v>
      </c>
      <c r="C380" t="str">
        <f>IFERROR(INDEX('Reference Table'!$C$2:$C$46,MATCH(D380,'Reference Table'!$A$2:$A$46,0)),"Unknown")</f>
        <v>Computers</v>
      </c>
      <c r="D380" t="str">
        <f t="array" ref="D380">IF(TRIM('Raw Data'!D380)&lt;&gt;"",TRIM('Raw Data'!D380),IFERROR(INDEX('Reference Table'!$A$2:$A$46,MATCH(VALUE('Raw Data'!E380),VALUE('Reference Table'!$B$2:$B$46),0)),"Unknown"))</f>
        <v>Comp_Keyboard</v>
      </c>
      <c r="E380">
        <f>IF('Raw Data'!E380&lt;&gt;"",'Raw Data'!E380,IFERROR(INDEX('Reference Table'!$B$2:$B$32,MATCH(D380,'Reference Table'!$A$2:$A$32,0)),""))</f>
        <v>800</v>
      </c>
      <c r="F380">
        <f>IF('Raw Data'!F380&lt;&gt;"",'Raw Data'!F380,IFERROR(ROUND('Raw Data'!G380/E380,0),""))</f>
        <v>2</v>
      </c>
      <c r="G380">
        <f>IF('Raw Data'!G380&lt;&gt;"",'Raw Data'!G380,IFERROR(ROUND(E380*F380,2),""))</f>
        <v>1600</v>
      </c>
      <c r="H380" t="str">
        <f>'Raw Data'!H380</f>
        <v>Credit Card</v>
      </c>
      <c r="I380" t="str">
        <f>IF('Raw Data'!D380="",IF(D380="Unknown","Could not recover","Filled from Price lookup"),IF(TRIM('Raw Data'!D380)&lt;&gt;'Raw Data'!D380,"Trimmed whitespace","OK"))</f>
        <v>OK</v>
      </c>
      <c r="J380" t="str">
        <f t="shared" si="5"/>
        <v>OK</v>
      </c>
    </row>
    <row r="381" spans="1:10">
      <c r="A381" t="str">
        <f>'Raw Data'!A381</f>
        <v>TXN_1505</v>
      </c>
      <c r="B381" s="1">
        <f>'Raw Data'!B381</f>
        <v>45726</v>
      </c>
      <c r="C381" t="str">
        <f>IFERROR(INDEX('Reference Table'!$C$2:$C$46,MATCH(D381,'Reference Table'!$A$2:$A$46,0)),"Unknown")</f>
        <v>Milk Products</v>
      </c>
      <c r="D381" t="str">
        <f t="array" ref="D381">IF(TRIM('Raw Data'!D381)&lt;&gt;"",TRIM('Raw Data'!D381),IFERROR(INDEX('Reference Table'!$A$2:$A$46,MATCH(VALUE('Raw Data'!E381),VALUE('Reference Table'!$B$2:$B$46),0)),"Unknown"))</f>
        <v>Milk_Yogurt_400g</v>
      </c>
      <c r="E381">
        <f>IF('Raw Data'!E381&lt;&gt;"",'Raw Data'!E381,IFERROR(INDEX('Reference Table'!$B$2:$B$32,MATCH(D381,'Reference Table'!$A$2:$A$32,0)),""))</f>
        <v>60</v>
      </c>
      <c r="F381">
        <f>IF('Raw Data'!F381&lt;&gt;"",'Raw Data'!F381,IFERROR(ROUND('Raw Data'!G381/E381,0),""))</f>
        <v>1</v>
      </c>
      <c r="G381">
        <f>IF('Raw Data'!G381&lt;&gt;"",'Raw Data'!G381,IFERROR(ROUND(E381*F381,2),""))</f>
        <v>60</v>
      </c>
      <c r="H381" t="str">
        <f>'Raw Data'!H381</f>
        <v>Mobile Payment</v>
      </c>
      <c r="I381" t="str">
        <f>IF('Raw Data'!D381="",IF(D381="Unknown","Could not recover","Filled from Price lookup"),IF(TRIM('Raw Data'!D381)&lt;&gt;'Raw Data'!D381,"Trimmed whitespace","OK"))</f>
        <v>OK</v>
      </c>
      <c r="J381" t="str">
        <f t="shared" si="5"/>
        <v>OK</v>
      </c>
    </row>
    <row r="382" spans="1:10">
      <c r="A382" t="str">
        <f>'Raw Data'!A382</f>
        <v>TXN_1226</v>
      </c>
      <c r="B382" s="1">
        <f>'Raw Data'!B382</f>
        <v>45856</v>
      </c>
      <c r="C382" t="str">
        <f>IFERROR(INDEX('Reference Table'!$C$2:$C$46,MATCH(D382,'Reference Table'!$A$2:$A$46,0)),"Unknown")</f>
        <v>Computers</v>
      </c>
      <c r="D382" t="str">
        <f t="array" ref="D382">IF(TRIM('Raw Data'!D382)&lt;&gt;"",TRIM('Raw Data'!D382),IFERROR(INDEX('Reference Table'!$A$2:$A$46,MATCH(VALUE('Raw Data'!E382),VALUE('Reference Table'!$B$2:$B$46),0)),"Unknown"))</f>
        <v>Comp_Keyboard</v>
      </c>
      <c r="E382">
        <f>IF('Raw Data'!E382&lt;&gt;"",'Raw Data'!E382,IFERROR(INDEX('Reference Table'!$B$2:$B$32,MATCH(D382,'Reference Table'!$A$2:$A$32,0)),""))</f>
        <v>800</v>
      </c>
      <c r="F382">
        <f>IF('Raw Data'!F382&lt;&gt;"",'Raw Data'!F382,IFERROR(ROUND('Raw Data'!G382/E382,0),""))</f>
        <v>3</v>
      </c>
      <c r="G382">
        <f>IF('Raw Data'!G382&lt;&gt;"",'Raw Data'!G382,IFERROR(ROUND(E382*F382,2),""))</f>
        <v>2400</v>
      </c>
      <c r="H382" t="str">
        <f>'Raw Data'!H382</f>
        <v>Credit Card</v>
      </c>
      <c r="I382" t="str">
        <f>IF('Raw Data'!D382="",IF(D382="Unknown","Could not recover","Filled from Price lookup"),IF(TRIM('Raw Data'!D382)&lt;&gt;'Raw Data'!D382,"Trimmed whitespace","OK"))</f>
        <v>OK</v>
      </c>
      <c r="J382" t="str">
        <f t="shared" si="5"/>
        <v>OK</v>
      </c>
    </row>
    <row r="383" spans="1:10">
      <c r="A383" t="str">
        <f>'Raw Data'!A383</f>
        <v>TXN_1351</v>
      </c>
      <c r="B383" s="1">
        <f>'Raw Data'!B383</f>
        <v>45792</v>
      </c>
      <c r="C383" t="str">
        <f>IFERROR(INDEX('Reference Table'!$C$2:$C$46,MATCH(D383,'Reference Table'!$A$2:$A$46,0)),"Unknown")</f>
        <v>Butchers</v>
      </c>
      <c r="D383" t="str">
        <f t="array" ref="D383">IF(TRIM('Raw Data'!D383)&lt;&gt;"",TRIM('Raw Data'!D383),IFERROR(INDEX('Reference Table'!$A$2:$A$46,MATCH(VALUE('Raw Data'!E383),VALUE('Reference Table'!$B$2:$B$46),0)),"Unknown"))</f>
        <v>Meat_Eggs_Dozen</v>
      </c>
      <c r="E383">
        <f>IF('Raw Data'!E383&lt;&gt;"",'Raw Data'!E383,IFERROR(INDEX('Reference Table'!$B$2:$B$32,MATCH(D383,'Reference Table'!$A$2:$A$32,0)),""))</f>
        <v>75</v>
      </c>
      <c r="F383">
        <f>IF('Raw Data'!F383&lt;&gt;"",'Raw Data'!F383,IFERROR(ROUND('Raw Data'!G383/E383,0),""))</f>
        <v>1</v>
      </c>
      <c r="G383">
        <f>IF('Raw Data'!G383&lt;&gt;"",'Raw Data'!G383,IFERROR(ROUND(E383*F383,2),""))</f>
        <v>75</v>
      </c>
      <c r="H383" t="str">
        <f>'Raw Data'!H383</f>
        <v>Cash</v>
      </c>
      <c r="I383" t="str">
        <f>IF('Raw Data'!D383="",IF(D383="Unknown","Could not recover","Filled from Price lookup"),IF(TRIM('Raw Data'!D383)&lt;&gt;'Raw Data'!D383,"Trimmed whitespace","OK"))</f>
        <v>OK</v>
      </c>
      <c r="J383" t="str">
        <f t="shared" si="5"/>
        <v>OK</v>
      </c>
    </row>
    <row r="384" spans="1:10">
      <c r="A384" t="str">
        <f>'Raw Data'!A384</f>
        <v>TXN_1315</v>
      </c>
      <c r="B384" s="1">
        <f>'Raw Data'!B384</f>
        <v>45762</v>
      </c>
      <c r="C384" t="str">
        <f>IFERROR(INDEX('Reference Table'!$C$2:$C$46,MATCH(D384,'Reference Table'!$A$2:$A$46,0)),"Unknown")</f>
        <v>Patisserie</v>
      </c>
      <c r="D384" t="str">
        <f t="array" ref="D384">IF(TRIM('Raw Data'!D384)&lt;&gt;"",TRIM('Raw Data'!D384),IFERROR(INDEX('Reference Table'!$A$2:$A$46,MATCH(VALUE('Raw Data'!E384),VALUE('Reference Table'!$B$2:$B$46),0)),"Unknown"))</f>
        <v>Pat_Cake_Slice</v>
      </c>
      <c r="E384">
        <f>IF('Raw Data'!E384&lt;&gt;"",'Raw Data'!E384,IFERROR(INDEX('Reference Table'!$B$2:$B$32,MATCH(D384,'Reference Table'!$A$2:$A$32,0)),""))</f>
        <v>90</v>
      </c>
      <c r="F384">
        <f>IF('Raw Data'!F384&lt;&gt;"",'Raw Data'!F384,IFERROR(ROUND('Raw Data'!G384/E384,0),""))</f>
        <v>4</v>
      </c>
      <c r="G384">
        <f>IF('Raw Data'!G384&lt;&gt;"",'Raw Data'!G384,IFERROR(ROUND(E384*F384,2),""))</f>
        <v>360</v>
      </c>
      <c r="H384" t="str">
        <f>'Raw Data'!H384</f>
        <v>Debit Card</v>
      </c>
      <c r="I384" t="str">
        <f>IF('Raw Data'!D384="",IF(D384="Unknown","Could not recover","Filled from Price lookup"),IF(TRIM('Raw Data'!D384)&lt;&gt;'Raw Data'!D384,"Trimmed whitespace","OK"))</f>
        <v>OK</v>
      </c>
      <c r="J384" t="str">
        <f t="shared" si="5"/>
        <v>OK</v>
      </c>
    </row>
    <row r="385" spans="1:10">
      <c r="A385" t="str">
        <f>'Raw Data'!A385</f>
        <v>TXN_1210</v>
      </c>
      <c r="B385" s="1">
        <f>'Raw Data'!B385</f>
        <v>45877</v>
      </c>
      <c r="C385" t="str">
        <f>IFERROR(INDEX('Reference Table'!$C$2:$C$46,MATCH(D385,'Reference Table'!$A$2:$A$46,0)),"Unknown")</f>
        <v>Butchers</v>
      </c>
      <c r="D385" t="str">
        <f t="array" ref="D385">IF(TRIM('Raw Data'!D385)&lt;&gt;"",TRIM('Raw Data'!D385),IFERROR(INDEX('Reference Table'!$A$2:$A$46,MATCH(VALUE('Raw Data'!E385),VALUE('Reference Table'!$B$2:$B$46),0)),"Unknown"))</f>
        <v>Meat_Mutton_1kg</v>
      </c>
      <c r="E385">
        <f>IF('Raw Data'!E385&lt;&gt;"",'Raw Data'!E385,IFERROR(INDEX('Reference Table'!$B$2:$B$32,MATCH(D385,'Reference Table'!$A$2:$A$32,0)),""))</f>
        <v>650</v>
      </c>
      <c r="F385">
        <f>IF('Raw Data'!F385&lt;&gt;"",'Raw Data'!F385,IFERROR(ROUND('Raw Data'!G385/E385,0),""))</f>
        <v>6</v>
      </c>
      <c r="G385">
        <f>IF('Raw Data'!G385&lt;&gt;"",'Raw Data'!G385,IFERROR(ROUND(E385*F385,2),""))</f>
        <v>3900</v>
      </c>
      <c r="H385" t="str">
        <f>'Raw Data'!H385</f>
        <v>Mobile Payment</v>
      </c>
      <c r="I385" t="str">
        <f>IF('Raw Data'!D385="",IF(D385="Unknown","Could not recover","Filled from Price lookup"),IF(TRIM('Raw Data'!D385)&lt;&gt;'Raw Data'!D385,"Trimmed whitespace","OK"))</f>
        <v>OK</v>
      </c>
      <c r="J385" t="str">
        <f t="shared" si="5"/>
        <v>OK</v>
      </c>
    </row>
    <row r="386" spans="1:10">
      <c r="A386" t="str">
        <f>'Raw Data'!A386</f>
        <v>TXN_1522</v>
      </c>
      <c r="B386" s="1">
        <f>'Raw Data'!B386</f>
        <v>45670</v>
      </c>
      <c r="C386" t="str">
        <f>IFERROR(INDEX('Reference Table'!$C$2:$C$46,MATCH(D386,'Reference Table'!$A$2:$A$46,0)),"Unknown")</f>
        <v>Beverages</v>
      </c>
      <c r="D386" t="str">
        <f t="array" ref="D386">IF(TRIM('Raw Data'!D386)&lt;&gt;"",TRIM('Raw Data'!D386),IFERROR(INDEX('Reference Table'!$A$2:$A$46,MATCH(VALUE('Raw Data'!E386),VALUE('Reference Table'!$B$2:$B$46),0)),"Unknown"))</f>
        <v>Bev_Tea_100g</v>
      </c>
      <c r="E386">
        <f>IF('Raw Data'!E386&lt;&gt;"",'Raw Data'!E386,IFERROR(INDEX('Reference Table'!$B$2:$B$32,MATCH(D386,'Reference Table'!$A$2:$A$32,0)),""))</f>
        <v>90</v>
      </c>
      <c r="F386">
        <f>IF('Raw Data'!F386&lt;&gt;"",'Raw Data'!F386,IFERROR(ROUND('Raw Data'!G386/E386,0),""))</f>
        <v>6</v>
      </c>
      <c r="G386">
        <f>IF('Raw Data'!G386&lt;&gt;"",'Raw Data'!G386,IFERROR(ROUND(E386*F386,2),""))</f>
        <v>540</v>
      </c>
      <c r="H386" t="str">
        <f>'Raw Data'!H386</f>
        <v>Cash</v>
      </c>
      <c r="I386" t="str">
        <f>IF('Raw Data'!D386="",IF(D386="Unknown","Could not recover","Filled from Price lookup"),IF(TRIM('Raw Data'!D386)&lt;&gt;'Raw Data'!D386,"Trimmed whitespace","OK"))</f>
        <v>OK</v>
      </c>
      <c r="J386" t="str">
        <f t="shared" si="5"/>
        <v>OK</v>
      </c>
    </row>
    <row r="387" spans="1:10">
      <c r="A387" t="str">
        <f>'Raw Data'!A387</f>
        <v>TXN_1383</v>
      </c>
      <c r="B387" s="1">
        <f>'Raw Data'!B387</f>
        <v>45875</v>
      </c>
      <c r="C387" t="str">
        <f>IFERROR(INDEX('Reference Table'!$C$2:$C$46,MATCH(D387,'Reference Table'!$A$2:$A$46,0)),"Unknown")</f>
        <v>Patisserie</v>
      </c>
      <c r="D387" t="str">
        <f t="array" ref="D387">IF(TRIM('Raw Data'!D387)&lt;&gt;"",TRIM('Raw Data'!D387),IFERROR(INDEX('Reference Table'!$A$2:$A$46,MATCH(VALUE('Raw Data'!E387),VALUE('Reference Table'!$B$2:$B$46),0)),"Unknown"))</f>
        <v>Pat_Cake_Slice</v>
      </c>
      <c r="E387">
        <f>IF('Raw Data'!E387&lt;&gt;"",'Raw Data'!E387,IFERROR(INDEX('Reference Table'!$B$2:$B$32,MATCH(D387,'Reference Table'!$A$2:$A$32,0)),""))</f>
        <v>90</v>
      </c>
      <c r="F387">
        <f>IF('Raw Data'!F387&lt;&gt;"",'Raw Data'!F387,IFERROR(ROUND('Raw Data'!G387/E387,0),""))</f>
        <v>3</v>
      </c>
      <c r="G387">
        <f>IF('Raw Data'!G387&lt;&gt;"",'Raw Data'!G387,IFERROR(ROUND(E387*F387,2),""))</f>
        <v>270</v>
      </c>
      <c r="H387" t="str">
        <f>'Raw Data'!H387</f>
        <v>Credit Card</v>
      </c>
      <c r="I387" t="str">
        <f>IF('Raw Data'!D387="",IF(D387="Unknown","Could not recover","Filled from Price lookup"),IF(TRIM('Raw Data'!D387)&lt;&gt;'Raw Data'!D387,"Trimmed whitespace","OK"))</f>
        <v>OK</v>
      </c>
      <c r="J387" t="str">
        <f t="shared" ref="J387:J450" si="6">IF(AND(E387&lt;&gt;"",F387&lt;&gt;"",G387&lt;&gt;""),IF(ROUND(E387*F387,2)=ROUND(G387,2),"OK","Mismatch"),"Incomplete")</f>
        <v>OK</v>
      </c>
    </row>
    <row r="388" spans="1:10">
      <c r="A388" t="str">
        <f>'Raw Data'!A388</f>
        <v>TXN_1321</v>
      </c>
      <c r="B388" s="1">
        <f>'Raw Data'!B388</f>
        <v>45829</v>
      </c>
      <c r="C388" t="str">
        <f>IFERROR(INDEX('Reference Table'!$C$2:$C$46,MATCH(D388,'Reference Table'!$A$2:$A$46,0)),"Unknown")</f>
        <v>Butchers</v>
      </c>
      <c r="D388" t="str">
        <f t="array" ref="D388">IF(TRIM('Raw Data'!D388)&lt;&gt;"",TRIM('Raw Data'!D388),IFERROR(INDEX('Reference Table'!$A$2:$A$46,MATCH(VALUE('Raw Data'!E388),VALUE('Reference Table'!$B$2:$B$46),0)),"Unknown"))</f>
        <v>Meat_Mutton_1kg</v>
      </c>
      <c r="E388">
        <f>IF('Raw Data'!E388&lt;&gt;"",'Raw Data'!E388,IFERROR(INDEX('Reference Table'!$B$2:$B$32,MATCH(D388,'Reference Table'!$A$2:$A$32,0)),""))</f>
        <v>650</v>
      </c>
      <c r="F388">
        <f>IF('Raw Data'!F388&lt;&gt;"",'Raw Data'!F388,IFERROR(ROUND('Raw Data'!G388/E388,0),""))</f>
        <v>2</v>
      </c>
      <c r="G388">
        <f>IF('Raw Data'!G388&lt;&gt;"",'Raw Data'!G388,IFERROR(ROUND(E388*F388,2),""))</f>
        <v>1300</v>
      </c>
      <c r="H388" t="str">
        <f>'Raw Data'!H388</f>
        <v>Cash</v>
      </c>
      <c r="I388" t="str">
        <f>IF('Raw Data'!D388="",IF(D388="Unknown","Could not recover","Filled from Price lookup"),IF(TRIM('Raw Data'!D388)&lt;&gt;'Raw Data'!D388,"Trimmed whitespace","OK"))</f>
        <v>OK</v>
      </c>
      <c r="J388" t="str">
        <f t="shared" si="6"/>
        <v>OK</v>
      </c>
    </row>
    <row r="389" spans="1:10">
      <c r="A389" t="str">
        <f>'Raw Data'!A389</f>
        <v>TXN_1434</v>
      </c>
      <c r="B389" s="1">
        <f>'Raw Data'!B389</f>
        <v>45786</v>
      </c>
      <c r="C389" t="str">
        <f>IFERROR(INDEX('Reference Table'!$C$2:$C$46,MATCH(D389,'Reference Table'!$A$2:$A$46,0)),"Unknown")</f>
        <v>Milk Products</v>
      </c>
      <c r="D389" t="str">
        <f t="array" ref="D389">IF(TRIM('Raw Data'!D389)&lt;&gt;"",TRIM('Raw Data'!D389),IFERROR(INDEX('Reference Table'!$A$2:$A$46,MATCH(VALUE('Raw Data'!E389),VALUE('Reference Table'!$B$2:$B$46),0)),"Unknown"))</f>
        <v>Milk_Paneer_200g</v>
      </c>
      <c r="E389">
        <f>IF('Raw Data'!E389&lt;&gt;"",'Raw Data'!E389,IFERROR(INDEX('Reference Table'!$B$2:$B$32,MATCH(D389,'Reference Table'!$A$2:$A$32,0)),""))</f>
        <v>80</v>
      </c>
      <c r="F389">
        <f>IF('Raw Data'!F389&lt;&gt;"",'Raw Data'!F389,IFERROR(ROUND('Raw Data'!G389/E389,0),""))</f>
        <v>4</v>
      </c>
      <c r="G389">
        <f>IF('Raw Data'!G389&lt;&gt;"",'Raw Data'!G389,IFERROR(ROUND(E389*F389,2),""))</f>
        <v>320</v>
      </c>
      <c r="H389" t="str">
        <f>'Raw Data'!H389</f>
        <v>Mobile Payment</v>
      </c>
      <c r="I389" t="str">
        <f>IF('Raw Data'!D389="",IF(D389="Unknown","Could not recover","Filled from Price lookup"),IF(TRIM('Raw Data'!D389)&lt;&gt;'Raw Data'!D389,"Trimmed whitespace","OK"))</f>
        <v>OK</v>
      </c>
      <c r="J389" t="str">
        <f t="shared" si="6"/>
        <v>OK</v>
      </c>
    </row>
    <row r="390" spans="1:10">
      <c r="A390" t="str">
        <f>'Raw Data'!A390</f>
        <v>TXN_1369</v>
      </c>
      <c r="B390" s="1">
        <f>'Raw Data'!B390</f>
        <v>45772</v>
      </c>
      <c r="C390" t="str">
        <f>IFERROR(INDEX('Reference Table'!$C$2:$C$46,MATCH(D390,'Reference Table'!$A$2:$A$46,0)),"Unknown")</f>
        <v>Electric Accessories</v>
      </c>
      <c r="D390" t="str">
        <f t="array" ref="D390">IF(TRIM('Raw Data'!D390)&lt;&gt;"",TRIM('Raw Data'!D390),IFERROR(INDEX('Reference Table'!$A$2:$A$46,MATCH(VALUE('Raw Data'!E390),VALUE('Reference Table'!$B$2:$B$46),0)),"Unknown"))</f>
        <v>Elec_Batteries_4pk</v>
      </c>
      <c r="E390">
        <f>IF('Raw Data'!E390&lt;&gt;"",'Raw Data'!E390,IFERROR(INDEX('Reference Table'!$B$2:$B$32,MATCH(D390,'Reference Table'!$A$2:$A$32,0)),""))</f>
        <v>90</v>
      </c>
      <c r="F390">
        <f>IF('Raw Data'!F390&lt;&gt;"",'Raw Data'!F390,IFERROR(ROUND('Raw Data'!G390/E390,0),""))</f>
        <v>3</v>
      </c>
      <c r="G390">
        <f>IF('Raw Data'!G390&lt;&gt;"",'Raw Data'!G390,IFERROR(ROUND(E390*F390,2),""))</f>
        <v>270</v>
      </c>
      <c r="H390" t="str">
        <f>'Raw Data'!H390</f>
        <v>Cash</v>
      </c>
      <c r="I390" t="str">
        <f>IF('Raw Data'!D390="",IF(D390="Unknown","Could not recover","Filled from Price lookup"),IF(TRIM('Raw Data'!D390)&lt;&gt;'Raw Data'!D390,"Trimmed whitespace","OK"))</f>
        <v>OK</v>
      </c>
      <c r="J390" t="str">
        <f t="shared" si="6"/>
        <v>OK</v>
      </c>
    </row>
    <row r="391" spans="1:10">
      <c r="A391" t="str">
        <f>'Raw Data'!A391</f>
        <v>TXN_1179</v>
      </c>
      <c r="B391" s="1">
        <f>'Raw Data'!B391</f>
        <v>45784</v>
      </c>
      <c r="C391" t="str">
        <f>IFERROR(INDEX('Reference Table'!$C$2:$C$46,MATCH(D391,'Reference Table'!$A$2:$A$46,0)),"Unknown")</f>
        <v>Computers</v>
      </c>
      <c r="D391" t="str">
        <f t="array" ref="D391">IF(TRIM('Raw Data'!D391)&lt;&gt;"",TRIM('Raw Data'!D391),IFERROR(INDEX('Reference Table'!$A$2:$A$46,MATCH(VALUE('Raw Data'!E391),VALUE('Reference Table'!$B$2:$B$46),0)),"Unknown"))</f>
        <v>Comp_USB_Drive_32GB</v>
      </c>
      <c r="E391">
        <f>IF('Raw Data'!E391&lt;&gt;"",'Raw Data'!E391,IFERROR(INDEX('Reference Table'!$B$2:$B$32,MATCH(D391,'Reference Table'!$A$2:$A$32,0)),""))</f>
        <v>450</v>
      </c>
      <c r="F391">
        <f>IF('Raw Data'!F391&lt;&gt;"",'Raw Data'!F391,IFERROR(ROUND('Raw Data'!G391/E391,0),""))</f>
        <v>5</v>
      </c>
      <c r="G391">
        <f>IF('Raw Data'!G391&lt;&gt;"",'Raw Data'!G391,IFERROR(ROUND(E391*F391,2),""))</f>
        <v>2250</v>
      </c>
      <c r="H391" t="str">
        <f>'Raw Data'!H391</f>
        <v>Mobile Payment</v>
      </c>
      <c r="I391" t="str">
        <f>IF('Raw Data'!D391="",IF(D391="Unknown","Could not recover","Filled from Price lookup"),IF(TRIM('Raw Data'!D391)&lt;&gt;'Raw Data'!D391,"Trimmed whitespace","OK"))</f>
        <v>Filled from Price lookup</v>
      </c>
      <c r="J391" t="str">
        <f t="shared" si="6"/>
        <v>OK</v>
      </c>
    </row>
    <row r="392" spans="1:10">
      <c r="A392" t="str">
        <f>'Raw Data'!A392</f>
        <v>TXN_1472</v>
      </c>
      <c r="B392" s="1">
        <f>'Raw Data'!B392</f>
        <v>45750</v>
      </c>
      <c r="C392" t="str">
        <f>IFERROR(INDEX('Reference Table'!$C$2:$C$46,MATCH(D392,'Reference Table'!$A$2:$A$46,0)),"Unknown")</f>
        <v>Computers</v>
      </c>
      <c r="D392" t="str">
        <f t="array" ref="D392">IF(TRIM('Raw Data'!D392)&lt;&gt;"",TRIM('Raw Data'!D392),IFERROR(INDEX('Reference Table'!$A$2:$A$46,MATCH(VALUE('Raw Data'!E392),VALUE('Reference Table'!$B$2:$B$46),0)),"Unknown"))</f>
        <v>Comp_HDMI_Cable</v>
      </c>
      <c r="E392">
        <f>IF('Raw Data'!E392&lt;&gt;"",'Raw Data'!E392,IFERROR(INDEX('Reference Table'!$B$2:$B$32,MATCH(D392,'Reference Table'!$A$2:$A$32,0)),""))</f>
        <v>300</v>
      </c>
      <c r="F392">
        <f>IF('Raw Data'!F392&lt;&gt;"",'Raw Data'!F392,IFERROR(ROUND('Raw Data'!G392/E392,0),""))</f>
        <v>6</v>
      </c>
      <c r="G392">
        <f>IF('Raw Data'!G392&lt;&gt;"",'Raw Data'!G392,IFERROR(ROUND(E392*F392,2),""))</f>
        <v>1800</v>
      </c>
      <c r="H392" t="str">
        <f>'Raw Data'!H392</f>
        <v>Cash</v>
      </c>
      <c r="I392" t="str">
        <f>IF('Raw Data'!D392="",IF(D392="Unknown","Could not recover","Filled from Price lookup"),IF(TRIM('Raw Data'!D392)&lt;&gt;'Raw Data'!D392,"Trimmed whitespace","OK"))</f>
        <v>OK</v>
      </c>
      <c r="J392" t="str">
        <f t="shared" si="6"/>
        <v>OK</v>
      </c>
    </row>
    <row r="393" spans="1:10">
      <c r="A393" t="str">
        <f>'Raw Data'!A393</f>
        <v>TXN_1560</v>
      </c>
      <c r="B393" s="1">
        <f>'Raw Data'!B393</f>
        <v>45722</v>
      </c>
      <c r="C393" t="str">
        <f>IFERROR(INDEX('Reference Table'!$C$2:$C$46,MATCH(D393,'Reference Table'!$A$2:$A$46,0)),"Unknown")</f>
        <v>Beverages</v>
      </c>
      <c r="D393" t="str">
        <f t="array" ref="D393">IF(TRIM('Raw Data'!D393)&lt;&gt;"",TRIM('Raw Data'!D393),IFERROR(INDEX('Reference Table'!$A$2:$A$46,MATCH(VALUE('Raw Data'!E393),VALUE('Reference Table'!$B$2:$B$46),0)),"Unknown"))</f>
        <v>Bev_Tea_100g</v>
      </c>
      <c r="E393">
        <f>IF('Raw Data'!E393&lt;&gt;"",'Raw Data'!E393,IFERROR(INDEX('Reference Table'!$B$2:$B$32,MATCH(D393,'Reference Table'!$A$2:$A$32,0)),""))</f>
        <v>90</v>
      </c>
      <c r="F393">
        <f>IF('Raw Data'!F393&lt;&gt;"",'Raw Data'!F393,IFERROR(ROUND('Raw Data'!G393/E393,0),""))</f>
        <v>3</v>
      </c>
      <c r="G393">
        <f>IF('Raw Data'!G393&lt;&gt;"",'Raw Data'!G393,IFERROR(ROUND(E393*F393,2),""))</f>
        <v>270</v>
      </c>
      <c r="H393" t="str">
        <f>'Raw Data'!H393</f>
        <v>Credit Card</v>
      </c>
      <c r="I393" t="str">
        <f>IF('Raw Data'!D393="",IF(D393="Unknown","Could not recover","Filled from Price lookup"),IF(TRIM('Raw Data'!D393)&lt;&gt;'Raw Data'!D393,"Trimmed whitespace","OK"))</f>
        <v>OK</v>
      </c>
      <c r="J393" t="str">
        <f t="shared" si="6"/>
        <v>OK</v>
      </c>
    </row>
    <row r="394" spans="1:10">
      <c r="A394" t="str">
        <f>'Raw Data'!A394</f>
        <v>TXN_1450</v>
      </c>
      <c r="B394" s="1">
        <f>'Raw Data'!B394</f>
        <v>45798</v>
      </c>
      <c r="C394" t="str">
        <f>IFERROR(INDEX('Reference Table'!$C$2:$C$46,MATCH(D394,'Reference Table'!$A$2:$A$46,0)),"Unknown")</f>
        <v>Food</v>
      </c>
      <c r="D394" t="str">
        <f t="array" ref="D394">IF(TRIM('Raw Data'!D394)&lt;&gt;"",TRIM('Raw Data'!D394),IFERROR(INDEX('Reference Table'!$A$2:$A$46,MATCH(VALUE('Raw Data'!E394),VALUE('Reference Table'!$B$2:$B$46),0)),"Unknown"))</f>
        <v>Food_Cereal_500g</v>
      </c>
      <c r="E394">
        <f>IF('Raw Data'!E394&lt;&gt;"",'Raw Data'!E394,IFERROR(INDEX('Reference Table'!$B$2:$B$32,MATCH(D394,'Reference Table'!$A$2:$A$32,0)),""))</f>
        <v>150</v>
      </c>
      <c r="F394">
        <f>IF('Raw Data'!F394&lt;&gt;"",'Raw Data'!F394,IFERROR(ROUND('Raw Data'!G394/E394,0),""))</f>
        <v>1</v>
      </c>
      <c r="G394">
        <f>IF('Raw Data'!G394&lt;&gt;"",'Raw Data'!G394,IFERROR(ROUND(E394*F394,2),""))</f>
        <v>150</v>
      </c>
      <c r="H394" t="str">
        <f>'Raw Data'!H394</f>
        <v>Credit Card</v>
      </c>
      <c r="I394" t="str">
        <f>IF('Raw Data'!D394="",IF(D394="Unknown","Could not recover","Filled from Price lookup"),IF(TRIM('Raw Data'!D394)&lt;&gt;'Raw Data'!D394,"Trimmed whitespace","OK"))</f>
        <v>OK</v>
      </c>
      <c r="J394" t="str">
        <f t="shared" si="6"/>
        <v>OK</v>
      </c>
    </row>
    <row r="395" spans="1:10">
      <c r="A395" t="str">
        <f>'Raw Data'!A395</f>
        <v>TXN_1312</v>
      </c>
      <c r="B395" s="1">
        <f>'Raw Data'!B395</f>
        <v>45673</v>
      </c>
      <c r="C395" t="str">
        <f>IFERROR(INDEX('Reference Table'!$C$2:$C$46,MATCH(D395,'Reference Table'!$A$2:$A$46,0)),"Unknown")</f>
        <v>Computers</v>
      </c>
      <c r="D395" t="str">
        <f t="array" ref="D395">IF(TRIM('Raw Data'!D395)&lt;&gt;"",TRIM('Raw Data'!D395),IFERROR(INDEX('Reference Table'!$A$2:$A$46,MATCH(VALUE('Raw Data'!E395),VALUE('Reference Table'!$B$2:$B$46),0)),"Unknown"))</f>
        <v>Comp_USB_Drive_32GB</v>
      </c>
      <c r="E395">
        <f>IF('Raw Data'!E395&lt;&gt;"",'Raw Data'!E395,IFERROR(INDEX('Reference Table'!$B$2:$B$32,MATCH(D395,'Reference Table'!$A$2:$A$32,0)),""))</f>
        <v>450</v>
      </c>
      <c r="F395">
        <f>IF('Raw Data'!F395&lt;&gt;"",'Raw Data'!F395,IFERROR(ROUND('Raw Data'!G395/E395,0),""))</f>
        <v>2</v>
      </c>
      <c r="G395">
        <f>IF('Raw Data'!G395&lt;&gt;"",'Raw Data'!G395,IFERROR(ROUND(E395*F395,2),""))</f>
        <v>900</v>
      </c>
      <c r="H395" t="str">
        <f>'Raw Data'!H395</f>
        <v>Mobile Payment</v>
      </c>
      <c r="I395" t="str">
        <f>IF('Raw Data'!D395="",IF(D395="Unknown","Could not recover","Filled from Price lookup"),IF(TRIM('Raw Data'!D395)&lt;&gt;'Raw Data'!D395,"Trimmed whitespace","OK"))</f>
        <v>Filled from Price lookup</v>
      </c>
      <c r="J395" t="str">
        <f t="shared" si="6"/>
        <v>OK</v>
      </c>
    </row>
    <row r="396" spans="1:10">
      <c r="A396" t="str">
        <f>'Raw Data'!A396</f>
        <v>TXN_1497</v>
      </c>
      <c r="B396" s="1">
        <f>'Raw Data'!B396</f>
        <v>45883</v>
      </c>
      <c r="C396" t="str">
        <f>IFERROR(INDEX('Reference Table'!$C$2:$C$46,MATCH(D396,'Reference Table'!$A$2:$A$46,0)),"Unknown")</f>
        <v>Furniture</v>
      </c>
      <c r="D396" t="str">
        <f t="array" ref="D396">IF(TRIM('Raw Data'!D396)&lt;&gt;"",TRIM('Raw Data'!D396),IFERROR(INDEX('Reference Table'!$A$2:$A$46,MATCH(VALUE('Raw Data'!E396),VALUE('Reference Table'!$B$2:$B$46),0)),"Unknown"))</f>
        <v>Furn_Chair</v>
      </c>
      <c r="E396">
        <f>IF('Raw Data'!E396&lt;&gt;"",'Raw Data'!E396,IFERROR(INDEX('Reference Table'!$B$2:$B$32,MATCH(D396,'Reference Table'!$A$2:$A$32,0)),""))</f>
        <v>2500</v>
      </c>
      <c r="F396">
        <f>IF('Raw Data'!F396&lt;&gt;"",'Raw Data'!F396,IFERROR(ROUND('Raw Data'!G396/E396,0),""))</f>
        <v>5</v>
      </c>
      <c r="G396">
        <f>IF('Raw Data'!G396&lt;&gt;"",'Raw Data'!G396,IFERROR(ROUND(E396*F396,2),""))</f>
        <v>12500</v>
      </c>
      <c r="H396" t="str">
        <f>'Raw Data'!H396</f>
        <v>Credit Card</v>
      </c>
      <c r="I396" t="str">
        <f>IF('Raw Data'!D396="",IF(D396="Unknown","Could not recover","Filled from Price lookup"),IF(TRIM('Raw Data'!D396)&lt;&gt;'Raw Data'!D396,"Trimmed whitespace","OK"))</f>
        <v>OK</v>
      </c>
      <c r="J396" t="str">
        <f t="shared" si="6"/>
        <v>OK</v>
      </c>
    </row>
    <row r="397" spans="1:10">
      <c r="A397" t="str">
        <f>'Raw Data'!A397</f>
        <v>TXN_1288</v>
      </c>
      <c r="B397" s="1">
        <f>'Raw Data'!B397</f>
        <v>45768</v>
      </c>
      <c r="C397" t="str">
        <f>IFERROR(INDEX('Reference Table'!$C$2:$C$46,MATCH(D397,'Reference Table'!$A$2:$A$46,0)),"Unknown")</f>
        <v>Food</v>
      </c>
      <c r="D397" t="str">
        <f t="array" ref="D397">IF(TRIM('Raw Data'!D397)&lt;&gt;"",TRIM('Raw Data'!D397),IFERROR(INDEX('Reference Table'!$A$2:$A$46,MATCH(VALUE('Raw Data'!E397),VALUE('Reference Table'!$B$2:$B$46),0)),"Unknown"))</f>
        <v>Food_Pasta_500g</v>
      </c>
      <c r="E397">
        <f>IF('Raw Data'!E397&lt;&gt;"",'Raw Data'!E397,IFERROR(INDEX('Reference Table'!$B$2:$B$32,MATCH(D397,'Reference Table'!$A$2:$A$32,0)),""))</f>
        <v>65</v>
      </c>
      <c r="F397">
        <f>IF('Raw Data'!F397&lt;&gt;"",'Raw Data'!F397,IFERROR(ROUND('Raw Data'!G397/E397,0),""))</f>
        <v>3</v>
      </c>
      <c r="G397">
        <f>IF('Raw Data'!G397&lt;&gt;"",'Raw Data'!G397,IFERROR(ROUND(E397*F397,2),""))</f>
        <v>195</v>
      </c>
      <c r="H397" t="str">
        <f>'Raw Data'!H397</f>
        <v>Cash</v>
      </c>
      <c r="I397" t="str">
        <f>IF('Raw Data'!D397="",IF(D397="Unknown","Could not recover","Filled from Price lookup"),IF(TRIM('Raw Data'!D397)&lt;&gt;'Raw Data'!D397,"Trimmed whitespace","OK"))</f>
        <v>OK</v>
      </c>
      <c r="J397" t="str">
        <f t="shared" si="6"/>
        <v>OK</v>
      </c>
    </row>
    <row r="398" spans="1:10">
      <c r="A398" t="str">
        <f>'Raw Data'!A398</f>
        <v>TXN_1271</v>
      </c>
      <c r="B398" s="1">
        <f>'Raw Data'!B398</f>
        <v>45768</v>
      </c>
      <c r="C398" t="str">
        <f>IFERROR(INDEX('Reference Table'!$C$2:$C$46,MATCH(D398,'Reference Table'!$A$2:$A$46,0)),"Unknown")</f>
        <v>Food</v>
      </c>
      <c r="D398" t="str">
        <f t="array" ref="D398">IF(TRIM('Raw Data'!D398)&lt;&gt;"",TRIM('Raw Data'!D398),IFERROR(INDEX('Reference Table'!$A$2:$A$46,MATCH(VALUE('Raw Data'!E398),VALUE('Reference Table'!$B$2:$B$46),0)),"Unknown"))</f>
        <v>Food_Rice_1kg</v>
      </c>
      <c r="E398">
        <f>IF('Raw Data'!E398&lt;&gt;"",'Raw Data'!E398,IFERROR(INDEX('Reference Table'!$B$2:$B$32,MATCH(D398,'Reference Table'!$A$2:$A$32,0)),""))</f>
        <v>70</v>
      </c>
      <c r="F398">
        <f>IF('Raw Data'!F398&lt;&gt;"",'Raw Data'!F398,IFERROR(ROUND('Raw Data'!G398/E398,0),""))</f>
        <v>1</v>
      </c>
      <c r="G398">
        <f>IF('Raw Data'!G398&lt;&gt;"",'Raw Data'!G398,IFERROR(ROUND(E398*F398,2),""))</f>
        <v>70</v>
      </c>
      <c r="H398" t="str">
        <f>'Raw Data'!H398</f>
        <v>Cash</v>
      </c>
      <c r="I398" t="str">
        <f>IF('Raw Data'!D398="",IF(D398="Unknown","Could not recover","Filled from Price lookup"),IF(TRIM('Raw Data'!D398)&lt;&gt;'Raw Data'!D398,"Trimmed whitespace","OK"))</f>
        <v>OK</v>
      </c>
      <c r="J398" t="str">
        <f t="shared" si="6"/>
        <v>OK</v>
      </c>
    </row>
    <row r="399" spans="1:10">
      <c r="A399" t="str">
        <f>'Raw Data'!A399</f>
        <v>TXN_1035</v>
      </c>
      <c r="B399" s="1">
        <f>'Raw Data'!B399</f>
        <v>45845</v>
      </c>
      <c r="C399" t="str">
        <f>IFERROR(INDEX('Reference Table'!$C$2:$C$46,MATCH(D399,'Reference Table'!$A$2:$A$46,0)),"Unknown")</f>
        <v>Food</v>
      </c>
      <c r="D399" t="str">
        <f t="array" ref="D399">IF(TRIM('Raw Data'!D399)&lt;&gt;"",TRIM('Raw Data'!D399),IFERROR(INDEX('Reference Table'!$A$2:$A$46,MATCH(VALUE('Raw Data'!E399),VALUE('Reference Table'!$B$2:$B$46),0)),"Unknown"))</f>
        <v>Food_Rice_1kg</v>
      </c>
      <c r="E399">
        <f>IF('Raw Data'!E399&lt;&gt;"",'Raw Data'!E399,IFERROR(INDEX('Reference Table'!$B$2:$B$32,MATCH(D399,'Reference Table'!$A$2:$A$32,0)),""))</f>
        <v>70</v>
      </c>
      <c r="F399">
        <f>IF('Raw Data'!F399&lt;&gt;"",'Raw Data'!F399,IFERROR(ROUND('Raw Data'!G399/E399,0),""))</f>
        <v>1</v>
      </c>
      <c r="G399">
        <f>IF('Raw Data'!G399&lt;&gt;"",'Raw Data'!G399,IFERROR(ROUND(E399*F399,2),""))</f>
        <v>70</v>
      </c>
      <c r="H399" t="str">
        <f>'Raw Data'!H399</f>
        <v>Mobile Payment</v>
      </c>
      <c r="I399" t="str">
        <f>IF('Raw Data'!D399="",IF(D399="Unknown","Could not recover","Filled from Price lookup"),IF(TRIM('Raw Data'!D399)&lt;&gt;'Raw Data'!D399,"Trimmed whitespace","OK"))</f>
        <v>OK</v>
      </c>
      <c r="J399" t="str">
        <f t="shared" si="6"/>
        <v>OK</v>
      </c>
    </row>
    <row r="400" spans="1:10">
      <c r="A400" t="str">
        <f>'Raw Data'!A400</f>
        <v>TXN_1073</v>
      </c>
      <c r="B400" s="1">
        <f>'Raw Data'!B400</f>
        <v>45743</v>
      </c>
      <c r="C400" t="str">
        <f>IFERROR(INDEX('Reference Table'!$C$2:$C$46,MATCH(D400,'Reference Table'!$A$2:$A$46,0)),"Unknown")</f>
        <v>Beverages</v>
      </c>
      <c r="D400" t="str">
        <f t="array" ref="D400">IF(TRIM('Raw Data'!D400)&lt;&gt;"",TRIM('Raw Data'!D400),IFERROR(INDEX('Reference Table'!$A$2:$A$46,MATCH(VALUE('Raw Data'!E400),VALUE('Reference Table'!$B$2:$B$46),0)),"Unknown"))</f>
        <v>Bev_Water_1L</v>
      </c>
      <c r="E400">
        <f>IF('Raw Data'!E400&lt;&gt;"",'Raw Data'!E400,IFERROR(INDEX('Reference Table'!$B$2:$B$32,MATCH(D400,'Reference Table'!$A$2:$A$32,0)),""))</f>
        <v>20</v>
      </c>
      <c r="F400">
        <f>IF('Raw Data'!F400&lt;&gt;"",'Raw Data'!F400,IFERROR(ROUND('Raw Data'!G400/E400,0),""))</f>
        <v>1</v>
      </c>
      <c r="G400">
        <f>IF('Raw Data'!G400&lt;&gt;"",'Raw Data'!G400,IFERROR(ROUND(E400*F400,2),""))</f>
        <v>20</v>
      </c>
      <c r="H400" t="str">
        <f>'Raw Data'!H400</f>
        <v>Credit Card</v>
      </c>
      <c r="I400" t="str">
        <f>IF('Raw Data'!D400="",IF(D400="Unknown","Could not recover","Filled from Price lookup"),IF(TRIM('Raw Data'!D400)&lt;&gt;'Raw Data'!D400,"Trimmed whitespace","OK"))</f>
        <v>OK</v>
      </c>
      <c r="J400" t="str">
        <f t="shared" si="6"/>
        <v>OK</v>
      </c>
    </row>
    <row r="401" spans="1:10">
      <c r="A401" t="str">
        <f>'Raw Data'!A401</f>
        <v>TXN_1346</v>
      </c>
      <c r="B401" s="1">
        <f>'Raw Data'!B401</f>
        <v>45861</v>
      </c>
      <c r="C401" t="str">
        <f>IFERROR(INDEX('Reference Table'!$C$2:$C$46,MATCH(D401,'Reference Table'!$A$2:$A$46,0)),"Unknown")</f>
        <v>Electric Accessories</v>
      </c>
      <c r="D401" t="str">
        <f t="array" ref="D401">IF(TRIM('Raw Data'!D401)&lt;&gt;"",TRIM('Raw Data'!D401),IFERROR(INDEX('Reference Table'!$A$2:$A$46,MATCH(VALUE('Raw Data'!E401),VALUE('Reference Table'!$B$2:$B$46),0)),"Unknown"))</f>
        <v>Elec_Charger</v>
      </c>
      <c r="E401">
        <f>IF('Raw Data'!E401&lt;&gt;"",'Raw Data'!E401,IFERROR(INDEX('Reference Table'!$B$2:$B$32,MATCH(D401,'Reference Table'!$A$2:$A$32,0)),""))</f>
        <v>400</v>
      </c>
      <c r="F401">
        <f>IF('Raw Data'!F401&lt;&gt;"",'Raw Data'!F401,IFERROR(ROUND('Raw Data'!G401/E401,0),""))</f>
        <v>6</v>
      </c>
      <c r="G401">
        <f>IF('Raw Data'!G401&lt;&gt;"",'Raw Data'!G401,IFERROR(ROUND(E401*F401,2),""))</f>
        <v>2400</v>
      </c>
      <c r="H401" t="str">
        <f>'Raw Data'!H401</f>
        <v>Mobile Payment</v>
      </c>
      <c r="I401" t="str">
        <f>IF('Raw Data'!D401="",IF(D401="Unknown","Could not recover","Filled from Price lookup"),IF(TRIM('Raw Data'!D401)&lt;&gt;'Raw Data'!D401,"Trimmed whitespace","OK"))</f>
        <v>Filled from Price lookup</v>
      </c>
      <c r="J401" t="str">
        <f t="shared" si="6"/>
        <v>OK</v>
      </c>
    </row>
    <row r="402" spans="1:10">
      <c r="A402" t="str">
        <f>'Raw Data'!A402</f>
        <v>TXN_1328</v>
      </c>
      <c r="B402" s="1">
        <f>'Raw Data'!B402</f>
        <v>45751</v>
      </c>
      <c r="C402" t="str">
        <f>IFERROR(INDEX('Reference Table'!$C$2:$C$46,MATCH(D402,'Reference Table'!$A$2:$A$46,0)),"Unknown")</f>
        <v>Beverages</v>
      </c>
      <c r="D402" t="str">
        <f t="array" ref="D402">IF(TRIM('Raw Data'!D402)&lt;&gt;"",TRIM('Raw Data'!D402),IFERROR(INDEX('Reference Table'!$A$2:$A$46,MATCH(VALUE('Raw Data'!E402),VALUE('Reference Table'!$B$2:$B$46),0)),"Unknown"))</f>
        <v>Bev_Water_1L</v>
      </c>
      <c r="E402">
        <f>IF('Raw Data'!E402&lt;&gt;"",'Raw Data'!E402,IFERROR(INDEX('Reference Table'!$B$2:$B$32,MATCH(D402,'Reference Table'!$A$2:$A$32,0)),""))</f>
        <v>20</v>
      </c>
      <c r="F402">
        <f>IF('Raw Data'!F402&lt;&gt;"",'Raw Data'!F402,IFERROR(ROUND('Raw Data'!G402/E402,0),""))</f>
        <v>4</v>
      </c>
      <c r="G402">
        <f>IF('Raw Data'!G402&lt;&gt;"",'Raw Data'!G402,IFERROR(ROUND(E402*F402,2),""))</f>
        <v>80</v>
      </c>
      <c r="H402" t="str">
        <f>'Raw Data'!H402</f>
        <v>Credit Card</v>
      </c>
      <c r="I402" t="str">
        <f>IF('Raw Data'!D402="",IF(D402="Unknown","Could not recover","Filled from Price lookup"),IF(TRIM('Raw Data'!D402)&lt;&gt;'Raw Data'!D402,"Trimmed whitespace","OK"))</f>
        <v>OK</v>
      </c>
      <c r="J402" t="str">
        <f t="shared" si="6"/>
        <v>OK</v>
      </c>
    </row>
    <row r="403" spans="1:10">
      <c r="A403" t="str">
        <f>'Raw Data'!A403</f>
        <v>TXN_1068</v>
      </c>
      <c r="B403" s="1">
        <f>'Raw Data'!B403</f>
        <v>45896</v>
      </c>
      <c r="C403" t="str">
        <f>IFERROR(INDEX('Reference Table'!$C$2:$C$46,MATCH(D403,'Reference Table'!$A$2:$A$46,0)),"Unknown")</f>
        <v>Furniture</v>
      </c>
      <c r="D403" t="str">
        <f t="array" ref="D403">IF(TRIM('Raw Data'!D403)&lt;&gt;"",TRIM('Raw Data'!D403),IFERROR(INDEX('Reference Table'!$A$2:$A$46,MATCH(VALUE('Raw Data'!E403),VALUE('Reference Table'!$B$2:$B$46),0)),"Unknown"))</f>
        <v>Furn_Chair</v>
      </c>
      <c r="E403">
        <f>IF('Raw Data'!E403&lt;&gt;"",'Raw Data'!E403,IFERROR(INDEX('Reference Table'!$B$2:$B$32,MATCH(D403,'Reference Table'!$A$2:$A$32,0)),""))</f>
        <v>2500</v>
      </c>
      <c r="F403">
        <f>IF('Raw Data'!F403&lt;&gt;"",'Raw Data'!F403,IFERROR(ROUND('Raw Data'!G403/E403,0),""))</f>
        <v>3</v>
      </c>
      <c r="G403">
        <f>IF('Raw Data'!G403&lt;&gt;"",'Raw Data'!G403,IFERROR(ROUND(E403*F403,2),""))</f>
        <v>7500</v>
      </c>
      <c r="H403" t="str">
        <f>'Raw Data'!H403</f>
        <v>Cash</v>
      </c>
      <c r="I403" t="str">
        <f>IF('Raw Data'!D403="",IF(D403="Unknown","Could not recover","Filled from Price lookup"),IF(TRIM('Raw Data'!D403)&lt;&gt;'Raw Data'!D403,"Trimmed whitespace","OK"))</f>
        <v>OK</v>
      </c>
      <c r="J403" t="str">
        <f t="shared" si="6"/>
        <v>OK</v>
      </c>
    </row>
    <row r="404" spans="1:10">
      <c r="A404" t="str">
        <f>'Raw Data'!A404</f>
        <v>TXN_1385</v>
      </c>
      <c r="B404" s="1">
        <f>'Raw Data'!B404</f>
        <v>45718</v>
      </c>
      <c r="C404" t="str">
        <f>IFERROR(INDEX('Reference Table'!$C$2:$C$46,MATCH(D404,'Reference Table'!$A$2:$A$46,0)),"Unknown")</f>
        <v>Beverages</v>
      </c>
      <c r="D404" t="str">
        <f t="array" ref="D404">IF(TRIM('Raw Data'!D404)&lt;&gt;"",TRIM('Raw Data'!D404),IFERROR(INDEX('Reference Table'!$A$2:$A$46,MATCH(VALUE('Raw Data'!E404),VALUE('Reference Table'!$B$2:$B$46),0)),"Unknown"))</f>
        <v>Bev_Cola_1L</v>
      </c>
      <c r="E404">
        <f>IF('Raw Data'!E404&lt;&gt;"",'Raw Data'!E404,IFERROR(INDEX('Reference Table'!$B$2:$B$32,MATCH(D404,'Reference Table'!$A$2:$A$32,0)),""))</f>
        <v>60</v>
      </c>
      <c r="F404">
        <f>IF('Raw Data'!F404&lt;&gt;"",'Raw Data'!F404,IFERROR(ROUND('Raw Data'!G404/E404,0),""))</f>
        <v>2</v>
      </c>
      <c r="G404">
        <f>IF('Raw Data'!G404&lt;&gt;"",'Raw Data'!G404,IFERROR(ROUND(E404*F404,2),""))</f>
        <v>120</v>
      </c>
      <c r="H404" t="str">
        <f>'Raw Data'!H404</f>
        <v>Mobile Payment</v>
      </c>
      <c r="I404" t="str">
        <f>IF('Raw Data'!D404="",IF(D404="Unknown","Could not recover","Filled from Price lookup"),IF(TRIM('Raw Data'!D404)&lt;&gt;'Raw Data'!D404,"Trimmed whitespace","OK"))</f>
        <v>Filled from Price lookup</v>
      </c>
      <c r="J404" t="str">
        <f t="shared" si="6"/>
        <v>OK</v>
      </c>
    </row>
    <row r="405" spans="1:10">
      <c r="A405" t="str">
        <f>'Raw Data'!A405</f>
        <v>TXN_1396</v>
      </c>
      <c r="B405" s="1">
        <f>'Raw Data'!B405</f>
        <v>45794</v>
      </c>
      <c r="C405" t="str">
        <f>IFERROR(INDEX('Reference Table'!$C$2:$C$46,MATCH(D405,'Reference Table'!$A$2:$A$46,0)),"Unknown")</f>
        <v>Patisserie</v>
      </c>
      <c r="D405" t="str">
        <f t="array" ref="D405">IF(TRIM('Raw Data'!D405)&lt;&gt;"",TRIM('Raw Data'!D405),IFERROR(INDEX('Reference Table'!$A$2:$A$46,MATCH(VALUE('Raw Data'!E405),VALUE('Reference Table'!$B$2:$B$46),0)),"Unknown"))</f>
        <v>Pat_Cookie_Pack</v>
      </c>
      <c r="E405">
        <f>IF('Raw Data'!E405&lt;&gt;"",'Raw Data'!E405,IFERROR(INDEX('Reference Table'!$B$2:$B$32,MATCH(D405,'Reference Table'!$A$2:$A$32,0)),""))</f>
        <v>55</v>
      </c>
      <c r="F405">
        <f>IF('Raw Data'!F405&lt;&gt;"",'Raw Data'!F405,IFERROR(ROUND('Raw Data'!G405/E405,0),""))</f>
        <v>5</v>
      </c>
      <c r="G405">
        <f>IF('Raw Data'!G405&lt;&gt;"",'Raw Data'!G405,IFERROR(ROUND(E405*F405,2),""))</f>
        <v>275</v>
      </c>
      <c r="H405" t="str">
        <f>'Raw Data'!H405</f>
        <v>Cash</v>
      </c>
      <c r="I405" t="str">
        <f>IF('Raw Data'!D405="",IF(D405="Unknown","Could not recover","Filled from Price lookup"),IF(TRIM('Raw Data'!D405)&lt;&gt;'Raw Data'!D405,"Trimmed whitespace","OK"))</f>
        <v>OK</v>
      </c>
      <c r="J405" t="str">
        <f t="shared" si="6"/>
        <v>OK</v>
      </c>
    </row>
    <row r="406" spans="1:10">
      <c r="A406" t="str">
        <f>'Raw Data'!A406</f>
        <v>TXN_1195</v>
      </c>
      <c r="B406" s="1">
        <f>'Raw Data'!B406</f>
        <v>45688</v>
      </c>
      <c r="C406" t="str">
        <f>IFERROR(INDEX('Reference Table'!$C$2:$C$46,MATCH(D406,'Reference Table'!$A$2:$A$46,0)),"Unknown")</f>
        <v>Food</v>
      </c>
      <c r="D406" t="str">
        <f t="array" ref="D406">IF(TRIM('Raw Data'!D406)&lt;&gt;"",TRIM('Raw Data'!D406),IFERROR(INDEX('Reference Table'!$A$2:$A$46,MATCH(VALUE('Raw Data'!E406),VALUE('Reference Table'!$B$2:$B$46),0)),"Unknown"))</f>
        <v>Food_Pasta_500g</v>
      </c>
      <c r="E406">
        <f>IF('Raw Data'!E406&lt;&gt;"",'Raw Data'!E406,IFERROR(INDEX('Reference Table'!$B$2:$B$32,MATCH(D406,'Reference Table'!$A$2:$A$32,0)),""))</f>
        <v>65</v>
      </c>
      <c r="F406">
        <f>IF('Raw Data'!F406&lt;&gt;"",'Raw Data'!F406,IFERROR(ROUND('Raw Data'!G406/E406,0),""))</f>
        <v>4</v>
      </c>
      <c r="G406">
        <f>IF('Raw Data'!G406&lt;&gt;"",'Raw Data'!G406,IFERROR(ROUND(E406*F406,2),""))</f>
        <v>260</v>
      </c>
      <c r="H406" t="str">
        <f>'Raw Data'!H406</f>
        <v>Credit Card</v>
      </c>
      <c r="I406" t="str">
        <f>IF('Raw Data'!D406="",IF(D406="Unknown","Could not recover","Filled from Price lookup"),IF(TRIM('Raw Data'!D406)&lt;&gt;'Raw Data'!D406,"Trimmed whitespace","OK"))</f>
        <v>OK</v>
      </c>
      <c r="J406" t="str">
        <f t="shared" si="6"/>
        <v>OK</v>
      </c>
    </row>
    <row r="407" spans="1:10">
      <c r="A407" t="str">
        <f>'Raw Data'!A407</f>
        <v>TXN_1070</v>
      </c>
      <c r="B407" s="1">
        <f>'Raw Data'!B407</f>
        <v>45730</v>
      </c>
      <c r="C407" t="str">
        <f>IFERROR(INDEX('Reference Table'!$C$2:$C$46,MATCH(D407,'Reference Table'!$A$2:$A$46,0)),"Unknown")</f>
        <v>Food</v>
      </c>
      <c r="D407" t="str">
        <f t="array" ref="D407">IF(TRIM('Raw Data'!D407)&lt;&gt;"",TRIM('Raw Data'!D407),IFERROR(INDEX('Reference Table'!$A$2:$A$46,MATCH(VALUE('Raw Data'!E407),VALUE('Reference Table'!$B$2:$B$46),0)),"Unknown"))</f>
        <v>Food_Oats_1kg</v>
      </c>
      <c r="E407">
        <f>IF('Raw Data'!E407&lt;&gt;"",'Raw Data'!E407,IFERROR(INDEX('Reference Table'!$B$2:$B$32,MATCH(D407,'Reference Table'!$A$2:$A$32,0)),""))</f>
        <v>120</v>
      </c>
      <c r="F407">
        <f>IF('Raw Data'!F407&lt;&gt;"",'Raw Data'!F407,IFERROR(ROUND('Raw Data'!G407/E407,0),""))</f>
        <v>3</v>
      </c>
      <c r="G407">
        <f>IF('Raw Data'!G407&lt;&gt;"",'Raw Data'!G407,IFERROR(ROUND(E407*F407,2),""))</f>
        <v>360</v>
      </c>
      <c r="H407" t="str">
        <f>'Raw Data'!H407</f>
        <v>Credit Card</v>
      </c>
      <c r="I407" t="str">
        <f>IF('Raw Data'!D407="",IF(D407="Unknown","Could not recover","Filled from Price lookup"),IF(TRIM('Raw Data'!D407)&lt;&gt;'Raw Data'!D407,"Trimmed whitespace","OK"))</f>
        <v>OK</v>
      </c>
      <c r="J407" t="str">
        <f t="shared" si="6"/>
        <v>OK</v>
      </c>
    </row>
    <row r="408" spans="1:10">
      <c r="A408" t="str">
        <f>'Raw Data'!A408</f>
        <v>TXN_1153</v>
      </c>
      <c r="B408" s="1">
        <f>'Raw Data'!B408</f>
        <v>45748</v>
      </c>
      <c r="C408" t="str">
        <f>IFERROR(INDEX('Reference Table'!$C$2:$C$46,MATCH(D408,'Reference Table'!$A$2:$A$46,0)),"Unknown")</f>
        <v>Furniture</v>
      </c>
      <c r="D408" t="str">
        <f t="array" ref="D408">IF(TRIM('Raw Data'!D408)&lt;&gt;"",TRIM('Raw Data'!D408),IFERROR(INDEX('Reference Table'!$A$2:$A$46,MATCH(VALUE('Raw Data'!E408),VALUE('Reference Table'!$B$2:$B$46),0)),"Unknown"))</f>
        <v>Furn_Chair</v>
      </c>
      <c r="E408">
        <f>IF('Raw Data'!E408&lt;&gt;"",'Raw Data'!E408,IFERROR(INDEX('Reference Table'!$B$2:$B$32,MATCH(D408,'Reference Table'!$A$2:$A$32,0)),""))</f>
        <v>2500</v>
      </c>
      <c r="F408">
        <f>IF('Raw Data'!F408&lt;&gt;"",'Raw Data'!F408,IFERROR(ROUND('Raw Data'!G408/E408,0),""))</f>
        <v>3</v>
      </c>
      <c r="G408">
        <f>IF('Raw Data'!G408&lt;&gt;"",'Raw Data'!G408,IFERROR(ROUND(E408*F408,2),""))</f>
        <v>7500</v>
      </c>
      <c r="H408" t="str">
        <f>'Raw Data'!H408</f>
        <v>Mobile Payment</v>
      </c>
      <c r="I408" t="str">
        <f>IF('Raw Data'!D408="",IF(D408="Unknown","Could not recover","Filled from Price lookup"),IF(TRIM('Raw Data'!D408)&lt;&gt;'Raw Data'!D408,"Trimmed whitespace","OK"))</f>
        <v>OK</v>
      </c>
      <c r="J408" t="str">
        <f t="shared" si="6"/>
        <v>OK</v>
      </c>
    </row>
    <row r="409" spans="1:10">
      <c r="A409" t="str">
        <f>'Raw Data'!A409</f>
        <v>TXN_1188</v>
      </c>
      <c r="B409" s="1">
        <f>'Raw Data'!B409</f>
        <v>45855</v>
      </c>
      <c r="C409" t="str">
        <f>IFERROR(INDEX('Reference Table'!$C$2:$C$46,MATCH(D409,'Reference Table'!$A$2:$A$46,0)),"Unknown")</f>
        <v>Butchers</v>
      </c>
      <c r="D409" t="str">
        <f t="array" ref="D409">IF(TRIM('Raw Data'!D409)&lt;&gt;"",TRIM('Raw Data'!D409),IFERROR(INDEX('Reference Table'!$A$2:$A$46,MATCH(VALUE('Raw Data'!E409),VALUE('Reference Table'!$B$2:$B$46),0)),"Unknown"))</f>
        <v>Meat_Chicken_1kg</v>
      </c>
      <c r="E409">
        <f>IF('Raw Data'!E409&lt;&gt;"",'Raw Data'!E409,IFERROR(INDEX('Reference Table'!$B$2:$B$32,MATCH(D409,'Reference Table'!$A$2:$A$32,0)),""))</f>
        <v>220</v>
      </c>
      <c r="F409">
        <f>IF('Raw Data'!F409&lt;&gt;"",'Raw Data'!F409,IFERROR(ROUND('Raw Data'!G409/E409,0),""))</f>
        <v>1</v>
      </c>
      <c r="G409">
        <f>IF('Raw Data'!G409&lt;&gt;"",'Raw Data'!G409,IFERROR(ROUND(E409*F409,2),""))</f>
        <v>220</v>
      </c>
      <c r="H409" t="str">
        <f>'Raw Data'!H409</f>
        <v>Mobile Payment</v>
      </c>
      <c r="I409" t="str">
        <f>IF('Raw Data'!D409="",IF(D409="Unknown","Could not recover","Filled from Price lookup"),IF(TRIM('Raw Data'!D409)&lt;&gt;'Raw Data'!D409,"Trimmed whitespace","OK"))</f>
        <v>OK</v>
      </c>
      <c r="J409" t="str">
        <f t="shared" si="6"/>
        <v>OK</v>
      </c>
    </row>
    <row r="410" spans="1:10">
      <c r="A410" t="str">
        <f>'Raw Data'!A410</f>
        <v>TXN_1160</v>
      </c>
      <c r="B410" s="1">
        <f>'Raw Data'!B410</f>
        <v>45881</v>
      </c>
      <c r="C410" t="str">
        <f>IFERROR(INDEX('Reference Table'!$C$2:$C$46,MATCH(D410,'Reference Table'!$A$2:$A$46,0)),"Unknown")</f>
        <v>Computers</v>
      </c>
      <c r="D410" t="str">
        <f t="array" ref="D410">IF(TRIM('Raw Data'!D410)&lt;&gt;"",TRIM('Raw Data'!D410),IFERROR(INDEX('Reference Table'!$A$2:$A$46,MATCH(VALUE('Raw Data'!E410),VALUE('Reference Table'!$B$2:$B$46),0)),"Unknown"))</f>
        <v>Comp_Keyboard</v>
      </c>
      <c r="E410">
        <f>IF('Raw Data'!E410&lt;&gt;"",'Raw Data'!E410,IFERROR(INDEX('Reference Table'!$B$2:$B$32,MATCH(D410,'Reference Table'!$A$2:$A$32,0)),""))</f>
        <v>800</v>
      </c>
      <c r="F410">
        <f>IF('Raw Data'!F410&lt;&gt;"",'Raw Data'!F410,IFERROR(ROUND('Raw Data'!G410/E410,0),""))</f>
        <v>1</v>
      </c>
      <c r="G410">
        <f>IF('Raw Data'!G410&lt;&gt;"",'Raw Data'!G410,IFERROR(ROUND(E410*F410,2),""))</f>
        <v>800</v>
      </c>
      <c r="H410" t="str">
        <f>'Raw Data'!H410</f>
        <v>Cash</v>
      </c>
      <c r="I410" t="str">
        <f>IF('Raw Data'!D410="",IF(D410="Unknown","Could not recover","Filled from Price lookup"),IF(TRIM('Raw Data'!D410)&lt;&gt;'Raw Data'!D410,"Trimmed whitespace","OK"))</f>
        <v>OK</v>
      </c>
      <c r="J410" t="str">
        <f t="shared" si="6"/>
        <v>OK</v>
      </c>
    </row>
    <row r="411" spans="1:10">
      <c r="A411" t="str">
        <f>'Raw Data'!A411</f>
        <v>TXN_1410</v>
      </c>
      <c r="B411" s="1">
        <f>'Raw Data'!B411</f>
        <v>45879</v>
      </c>
      <c r="C411" t="str">
        <f>IFERROR(INDEX('Reference Table'!$C$2:$C$46,MATCH(D411,'Reference Table'!$A$2:$A$46,0)),"Unknown")</f>
        <v>Electric Accessories</v>
      </c>
      <c r="D411" t="str">
        <f t="array" ref="D411">IF(TRIM('Raw Data'!D411)&lt;&gt;"",TRIM('Raw Data'!D411),IFERROR(INDEX('Reference Table'!$A$2:$A$46,MATCH(VALUE('Raw Data'!E411),VALUE('Reference Table'!$B$2:$B$46),0)),"Unknown"))</f>
        <v>Elec_Charger</v>
      </c>
      <c r="E411">
        <f>IF('Raw Data'!E411&lt;&gt;"",'Raw Data'!E411,IFERROR(INDEX('Reference Table'!$B$2:$B$32,MATCH(D411,'Reference Table'!$A$2:$A$32,0)),""))</f>
        <v>400</v>
      </c>
      <c r="F411">
        <f>IF('Raw Data'!F411&lt;&gt;"",'Raw Data'!F411,IFERROR(ROUND('Raw Data'!G411/E411,0),""))</f>
        <v>2</v>
      </c>
      <c r="G411">
        <f>IF('Raw Data'!G411&lt;&gt;"",'Raw Data'!G411,IFERROR(ROUND(E411*F411,2),""))</f>
        <v>800</v>
      </c>
      <c r="H411" t="str">
        <f>'Raw Data'!H411</f>
        <v>Credit Card</v>
      </c>
      <c r="I411" t="str">
        <f>IF('Raw Data'!D411="",IF(D411="Unknown","Could not recover","Filled from Price lookup"),IF(TRIM('Raw Data'!D411)&lt;&gt;'Raw Data'!D411,"Trimmed whitespace","OK"))</f>
        <v>OK</v>
      </c>
      <c r="J411" t="str">
        <f t="shared" si="6"/>
        <v>OK</v>
      </c>
    </row>
    <row r="412" spans="1:10">
      <c r="A412" t="str">
        <f>'Raw Data'!A412</f>
        <v>TXN_1052</v>
      </c>
      <c r="B412" s="1">
        <f>'Raw Data'!B412</f>
        <v>45681</v>
      </c>
      <c r="C412" t="str">
        <f>IFERROR(INDEX('Reference Table'!$C$2:$C$46,MATCH(D412,'Reference Table'!$A$2:$A$46,0)),"Unknown")</f>
        <v>Computers</v>
      </c>
      <c r="D412" t="str">
        <f t="array" ref="D412">IF(TRIM('Raw Data'!D412)&lt;&gt;"",TRIM('Raw Data'!D412),IFERROR(INDEX('Reference Table'!$A$2:$A$46,MATCH(VALUE('Raw Data'!E412),VALUE('Reference Table'!$B$2:$B$46),0)),"Unknown"))</f>
        <v>Comp_Webcam</v>
      </c>
      <c r="E412">
        <f>IF('Raw Data'!E412&lt;&gt;"",'Raw Data'!E412,IFERROR(INDEX('Reference Table'!$B$2:$B$32,MATCH(D412,'Reference Table'!$A$2:$A$32,0)),""))</f>
        <v>1200</v>
      </c>
      <c r="F412">
        <f>IF('Raw Data'!F412&lt;&gt;"",'Raw Data'!F412,IFERROR(ROUND('Raw Data'!G412/E412,0),""))</f>
        <v>1</v>
      </c>
      <c r="G412">
        <f>IF('Raw Data'!G412&lt;&gt;"",'Raw Data'!G412,IFERROR(ROUND(E412*F412,2),""))</f>
        <v>1200</v>
      </c>
      <c r="H412" t="str">
        <f>'Raw Data'!H412</f>
        <v>Credit Card</v>
      </c>
      <c r="I412" t="str">
        <f>IF('Raw Data'!D412="",IF(D412="Unknown","Could not recover","Filled from Price lookup"),IF(TRIM('Raw Data'!D412)&lt;&gt;'Raw Data'!D412,"Trimmed whitespace","OK"))</f>
        <v>OK</v>
      </c>
      <c r="J412" t="str">
        <f t="shared" si="6"/>
        <v>OK</v>
      </c>
    </row>
    <row r="413" spans="1:10">
      <c r="A413" t="str">
        <f>'Raw Data'!A413</f>
        <v>TXN_1374</v>
      </c>
      <c r="B413" s="1">
        <f>'Raw Data'!B413</f>
        <v>45812</v>
      </c>
      <c r="C413" t="str">
        <f>IFERROR(INDEX('Reference Table'!$C$2:$C$46,MATCH(D413,'Reference Table'!$A$2:$A$46,0)),"Unknown")</f>
        <v>Furniture</v>
      </c>
      <c r="D413" t="str">
        <f t="array" ref="D413">IF(TRIM('Raw Data'!D413)&lt;&gt;"",TRIM('Raw Data'!D413),IFERROR(INDEX('Reference Table'!$A$2:$A$46,MATCH(VALUE('Raw Data'!E413),VALUE('Reference Table'!$B$2:$B$46),0)),"Unknown"))</f>
        <v>Furn_Small_Table</v>
      </c>
      <c r="E413">
        <f>IF('Raw Data'!E413&lt;&gt;"",'Raw Data'!E413,IFERROR(INDEX('Reference Table'!$B$2:$B$32,MATCH(D413,'Reference Table'!$A$2:$A$32,0)),""))</f>
        <v>3200</v>
      </c>
      <c r="F413">
        <f>IF('Raw Data'!F413&lt;&gt;"",'Raw Data'!F413,IFERROR(ROUND('Raw Data'!G413/E413,0),""))</f>
        <v>1</v>
      </c>
      <c r="G413">
        <f>IF('Raw Data'!G413&lt;&gt;"",'Raw Data'!G413,IFERROR(ROUND(E413*F413,2),""))</f>
        <v>3200</v>
      </c>
      <c r="H413" t="str">
        <f>'Raw Data'!H413</f>
        <v>Credit Card</v>
      </c>
      <c r="I413" t="str">
        <f>IF('Raw Data'!D413="",IF(D413="Unknown","Could not recover","Filled from Price lookup"),IF(TRIM('Raw Data'!D413)&lt;&gt;'Raw Data'!D413,"Trimmed whitespace","OK"))</f>
        <v>OK</v>
      </c>
      <c r="J413" t="str">
        <f t="shared" si="6"/>
        <v>OK</v>
      </c>
    </row>
    <row r="414" spans="1:10">
      <c r="A414" t="str">
        <f>'Raw Data'!A414</f>
        <v>TXN_1045</v>
      </c>
      <c r="B414" s="1">
        <f>'Raw Data'!B414</f>
        <v>45779</v>
      </c>
      <c r="C414" t="str">
        <f>IFERROR(INDEX('Reference Table'!$C$2:$C$46,MATCH(D414,'Reference Table'!$A$2:$A$46,0)),"Unknown")</f>
        <v>Furniture</v>
      </c>
      <c r="D414" t="str">
        <f t="array" ref="D414">IF(TRIM('Raw Data'!D414)&lt;&gt;"",TRIM('Raw Data'!D414),IFERROR(INDEX('Reference Table'!$A$2:$A$46,MATCH(VALUE('Raw Data'!E414),VALUE('Reference Table'!$B$2:$B$46),0)),"Unknown"))</f>
        <v>Furn_Small_Table</v>
      </c>
      <c r="E414">
        <f>IF('Raw Data'!E414&lt;&gt;"",'Raw Data'!E414,IFERROR(INDEX('Reference Table'!$B$2:$B$32,MATCH(D414,'Reference Table'!$A$2:$A$32,0)),""))</f>
        <v>3200</v>
      </c>
      <c r="F414">
        <f>IF('Raw Data'!F414&lt;&gt;"",'Raw Data'!F414,IFERROR(ROUND('Raw Data'!G414/E414,0),""))</f>
        <v>5</v>
      </c>
      <c r="G414">
        <f>IF('Raw Data'!G414&lt;&gt;"",'Raw Data'!G414,IFERROR(ROUND(E414*F414,2),""))</f>
        <v>16000</v>
      </c>
      <c r="H414" t="str">
        <f>'Raw Data'!H414</f>
        <v>Credit Card</v>
      </c>
      <c r="I414" t="str">
        <f>IF('Raw Data'!D414="",IF(D414="Unknown","Could not recover","Filled from Price lookup"),IF(TRIM('Raw Data'!D414)&lt;&gt;'Raw Data'!D414,"Trimmed whitespace","OK"))</f>
        <v>OK</v>
      </c>
      <c r="J414" t="str">
        <f t="shared" si="6"/>
        <v>OK</v>
      </c>
    </row>
    <row r="415" spans="1:10">
      <c r="A415" t="str">
        <f>'Raw Data'!A415</f>
        <v>TXN_1196</v>
      </c>
      <c r="B415" s="1">
        <f>'Raw Data'!B415</f>
        <v>45838</v>
      </c>
      <c r="C415" t="str">
        <f>IFERROR(INDEX('Reference Table'!$C$2:$C$46,MATCH(D415,'Reference Table'!$A$2:$A$46,0)),"Unknown")</f>
        <v>Patisserie</v>
      </c>
      <c r="D415" t="str">
        <f t="array" ref="D415">IF(TRIM('Raw Data'!D415)&lt;&gt;"",TRIM('Raw Data'!D415),IFERROR(INDEX('Reference Table'!$A$2:$A$46,MATCH(VALUE('Raw Data'!E415),VALUE('Reference Table'!$B$2:$B$46),0)),"Unknown"))</f>
        <v>Pat_Cake_Slice</v>
      </c>
      <c r="E415">
        <f>IF('Raw Data'!E415&lt;&gt;"",'Raw Data'!E415,IFERROR(INDEX('Reference Table'!$B$2:$B$32,MATCH(D415,'Reference Table'!$A$2:$A$32,0)),""))</f>
        <v>90</v>
      </c>
      <c r="F415">
        <f>IF('Raw Data'!F415&lt;&gt;"",'Raw Data'!F415,IFERROR(ROUND('Raw Data'!G415/E415,0),""))</f>
        <v>5</v>
      </c>
      <c r="G415">
        <f>IF('Raw Data'!G415&lt;&gt;"",'Raw Data'!G415,IFERROR(ROUND(E415*F415,2),""))</f>
        <v>450</v>
      </c>
      <c r="H415" t="str">
        <f>'Raw Data'!H415</f>
        <v>Debit Card</v>
      </c>
      <c r="I415" t="str">
        <f>IF('Raw Data'!D415="",IF(D415="Unknown","Could not recover","Filled from Price lookup"),IF(TRIM('Raw Data'!D415)&lt;&gt;'Raw Data'!D415,"Trimmed whitespace","OK"))</f>
        <v>OK</v>
      </c>
      <c r="J415" t="str">
        <f t="shared" si="6"/>
        <v>OK</v>
      </c>
    </row>
    <row r="416" spans="1:10">
      <c r="A416" t="str">
        <f>'Raw Data'!A416</f>
        <v>TXN_1117</v>
      </c>
      <c r="B416" s="1">
        <f>'Raw Data'!B416</f>
        <v>45757</v>
      </c>
      <c r="C416" t="str">
        <f>IFERROR(INDEX('Reference Table'!$C$2:$C$46,MATCH(D416,'Reference Table'!$A$2:$A$46,0)),"Unknown")</f>
        <v>Milk Products</v>
      </c>
      <c r="D416" t="str">
        <f t="array" ref="D416">IF(TRIM('Raw Data'!D416)&lt;&gt;"",TRIM('Raw Data'!D416),IFERROR(INDEX('Reference Table'!$A$2:$A$46,MATCH(VALUE('Raw Data'!E416),VALUE('Reference Table'!$B$2:$B$46),0)),"Unknown"))</f>
        <v>Milk_Paneer_200g</v>
      </c>
      <c r="E416">
        <f>IF('Raw Data'!E416&lt;&gt;"",'Raw Data'!E416,IFERROR(INDEX('Reference Table'!$B$2:$B$32,MATCH(D416,'Reference Table'!$A$2:$A$32,0)),""))</f>
        <v>80</v>
      </c>
      <c r="F416">
        <f>IF('Raw Data'!F416&lt;&gt;"",'Raw Data'!F416,IFERROR(ROUND('Raw Data'!G416/E416,0),""))</f>
        <v>4</v>
      </c>
      <c r="G416">
        <f>IF('Raw Data'!G416&lt;&gt;"",'Raw Data'!G416,IFERROR(ROUND(E416*F416,2),""))</f>
        <v>320</v>
      </c>
      <c r="H416" t="str">
        <f>'Raw Data'!H416</f>
        <v>Cash</v>
      </c>
      <c r="I416" t="str">
        <f>IF('Raw Data'!D416="",IF(D416="Unknown","Could not recover","Filled from Price lookup"),IF(TRIM('Raw Data'!D416)&lt;&gt;'Raw Data'!D416,"Trimmed whitespace","OK"))</f>
        <v>OK</v>
      </c>
      <c r="J416" t="str">
        <f t="shared" si="6"/>
        <v>OK</v>
      </c>
    </row>
    <row r="417" spans="1:10">
      <c r="A417" t="str">
        <f>'Raw Data'!A417</f>
        <v>TXN_1036</v>
      </c>
      <c r="B417" s="1">
        <f>'Raw Data'!B417</f>
        <v>45690</v>
      </c>
      <c r="C417" t="str">
        <f>IFERROR(INDEX('Reference Table'!$C$2:$C$46,MATCH(D417,'Reference Table'!$A$2:$A$46,0)),"Unknown")</f>
        <v>Computers</v>
      </c>
      <c r="D417" t="str">
        <f t="array" ref="D417">IF(TRIM('Raw Data'!D417)&lt;&gt;"",TRIM('Raw Data'!D417),IFERROR(INDEX('Reference Table'!$A$2:$A$46,MATCH(VALUE('Raw Data'!E417),VALUE('Reference Table'!$B$2:$B$46),0)),"Unknown"))</f>
        <v>Comp_Webcam</v>
      </c>
      <c r="E417">
        <f>IF('Raw Data'!E417&lt;&gt;"",'Raw Data'!E417,IFERROR(INDEX('Reference Table'!$B$2:$B$32,MATCH(D417,'Reference Table'!$A$2:$A$32,0)),""))</f>
        <v>1200</v>
      </c>
      <c r="F417">
        <f>IF('Raw Data'!F417&lt;&gt;"",'Raw Data'!F417,IFERROR(ROUND('Raw Data'!G417/E417,0),""))</f>
        <v>2</v>
      </c>
      <c r="G417">
        <f>IF('Raw Data'!G417&lt;&gt;"",'Raw Data'!G417,IFERROR(ROUND(E417*F417,2),""))</f>
        <v>2400</v>
      </c>
      <c r="H417" t="str">
        <f>'Raw Data'!H417</f>
        <v>Mobile Payment</v>
      </c>
      <c r="I417" t="str">
        <f>IF('Raw Data'!D417="",IF(D417="Unknown","Could not recover","Filled from Price lookup"),IF(TRIM('Raw Data'!D417)&lt;&gt;'Raw Data'!D417,"Trimmed whitespace","OK"))</f>
        <v>OK</v>
      </c>
      <c r="J417" t="str">
        <f t="shared" si="6"/>
        <v>OK</v>
      </c>
    </row>
    <row r="418" spans="1:10">
      <c r="A418" t="str">
        <f>'Raw Data'!A418</f>
        <v>TXN_1433</v>
      </c>
      <c r="B418" s="1">
        <f>'Raw Data'!B418</f>
        <v>45765</v>
      </c>
      <c r="C418" t="str">
        <f>IFERROR(INDEX('Reference Table'!$C$2:$C$46,MATCH(D418,'Reference Table'!$A$2:$A$46,0)),"Unknown")</f>
        <v>Electric Accessories</v>
      </c>
      <c r="D418" t="str">
        <f t="array" ref="D418">IF(TRIM('Raw Data'!D418)&lt;&gt;"",TRIM('Raw Data'!D418),IFERROR(INDEX('Reference Table'!$A$2:$A$46,MATCH(VALUE('Raw Data'!E418),VALUE('Reference Table'!$B$2:$B$46),0)),"Unknown"))</f>
        <v>Elec_Batteries_4pk</v>
      </c>
      <c r="E418">
        <f>IF('Raw Data'!E418&lt;&gt;"",'Raw Data'!E418,IFERROR(INDEX('Reference Table'!$B$2:$B$32,MATCH(D418,'Reference Table'!$A$2:$A$32,0)),""))</f>
        <v>90</v>
      </c>
      <c r="F418">
        <f>IF('Raw Data'!F418&lt;&gt;"",'Raw Data'!F418,IFERROR(ROUND('Raw Data'!G418/E418,0),""))</f>
        <v>3</v>
      </c>
      <c r="G418">
        <f>IF('Raw Data'!G418&lt;&gt;"",'Raw Data'!G418,IFERROR(ROUND(E418*F418,2),""))</f>
        <v>270</v>
      </c>
      <c r="H418" t="str">
        <f>'Raw Data'!H418</f>
        <v>Credit Card</v>
      </c>
      <c r="I418" t="str">
        <f>IF('Raw Data'!D418="",IF(D418="Unknown","Could not recover","Filled from Price lookup"),IF(TRIM('Raw Data'!D418)&lt;&gt;'Raw Data'!D418,"Trimmed whitespace","OK"))</f>
        <v>OK</v>
      </c>
      <c r="J418" t="str">
        <f t="shared" si="6"/>
        <v>OK</v>
      </c>
    </row>
    <row r="419" spans="1:10">
      <c r="A419" t="str">
        <f>'Raw Data'!A419</f>
        <v>TXN_1431</v>
      </c>
      <c r="B419" s="1">
        <f>'Raw Data'!B419</f>
        <v>45819</v>
      </c>
      <c r="C419" t="str">
        <f>IFERROR(INDEX('Reference Table'!$C$2:$C$46,MATCH(D419,'Reference Table'!$A$2:$A$46,0)),"Unknown")</f>
        <v>Milk Products</v>
      </c>
      <c r="D419" t="str">
        <f t="array" ref="D419">IF(TRIM('Raw Data'!D419)&lt;&gt;"",TRIM('Raw Data'!D419),IFERROR(INDEX('Reference Table'!$A$2:$A$46,MATCH(VALUE('Raw Data'!E419),VALUE('Reference Table'!$B$2:$B$46),0)),"Unknown"))</f>
        <v>Milk_Cheese_200g</v>
      </c>
      <c r="E419">
        <f>IF('Raw Data'!E419&lt;&gt;"",'Raw Data'!E419,IFERROR(INDEX('Reference Table'!$B$2:$B$32,MATCH(D419,'Reference Table'!$A$2:$A$32,0)),""))</f>
        <v>110</v>
      </c>
      <c r="F419">
        <f>IF('Raw Data'!F419&lt;&gt;"",'Raw Data'!F419,IFERROR(ROUND('Raw Data'!G419/E419,0),""))</f>
        <v>5</v>
      </c>
      <c r="G419">
        <f>IF('Raw Data'!G419&lt;&gt;"",'Raw Data'!G419,IFERROR(ROUND(E419*F419,2),""))</f>
        <v>550</v>
      </c>
      <c r="H419" t="str">
        <f>'Raw Data'!H419</f>
        <v>Mobile Payment</v>
      </c>
      <c r="I419" t="str">
        <f>IF('Raw Data'!D419="",IF(D419="Unknown","Could not recover","Filled from Price lookup"),IF(TRIM('Raw Data'!D419)&lt;&gt;'Raw Data'!D419,"Trimmed whitespace","OK"))</f>
        <v>OK</v>
      </c>
      <c r="J419" t="str">
        <f t="shared" si="6"/>
        <v>OK</v>
      </c>
    </row>
    <row r="420" spans="1:10">
      <c r="A420" t="str">
        <f>'Raw Data'!A420</f>
        <v>TXN_1355</v>
      </c>
      <c r="B420" s="1">
        <f>'Raw Data'!B420</f>
        <v>45669</v>
      </c>
      <c r="C420" t="str">
        <f>IFERROR(INDEX('Reference Table'!$C$2:$C$46,MATCH(D420,'Reference Table'!$A$2:$A$46,0)),"Unknown")</f>
        <v>Butchers</v>
      </c>
      <c r="D420" t="str">
        <f t="array" ref="D420">IF(TRIM('Raw Data'!D420)&lt;&gt;"",TRIM('Raw Data'!D420),IFERROR(INDEX('Reference Table'!$A$2:$A$46,MATCH(VALUE('Raw Data'!E420),VALUE('Reference Table'!$B$2:$B$46),0)),"Unknown"))</f>
        <v>Meat_Mutton_1kg</v>
      </c>
      <c r="E420">
        <f>IF('Raw Data'!E420&lt;&gt;"",'Raw Data'!E420,IFERROR(INDEX('Reference Table'!$B$2:$B$32,MATCH(D420,'Reference Table'!$A$2:$A$32,0)),""))</f>
        <v>650</v>
      </c>
      <c r="F420">
        <f>IF('Raw Data'!F420&lt;&gt;"",'Raw Data'!F420,IFERROR(ROUND('Raw Data'!G420/E420,0),""))</f>
        <v>2</v>
      </c>
      <c r="G420">
        <f>IF('Raw Data'!G420&lt;&gt;"",'Raw Data'!G420,IFERROR(ROUND(E420*F420,2),""))</f>
        <v>1300</v>
      </c>
      <c r="H420" t="str">
        <f>'Raw Data'!H420</f>
        <v>Debit Card</v>
      </c>
      <c r="I420" t="str">
        <f>IF('Raw Data'!D420="",IF(D420="Unknown","Could not recover","Filled from Price lookup"),IF(TRIM('Raw Data'!D420)&lt;&gt;'Raw Data'!D420,"Trimmed whitespace","OK"))</f>
        <v>OK</v>
      </c>
      <c r="J420" t="str">
        <f t="shared" si="6"/>
        <v>OK</v>
      </c>
    </row>
    <row r="421" spans="1:10">
      <c r="A421" t="str">
        <f>'Raw Data'!A421</f>
        <v>TXN_1216</v>
      </c>
      <c r="B421" s="1">
        <f>'Raw Data'!B421</f>
        <v>45802</v>
      </c>
      <c r="C421" t="str">
        <f>IFERROR(INDEX('Reference Table'!$C$2:$C$46,MATCH(D421,'Reference Table'!$A$2:$A$46,0)),"Unknown")</f>
        <v>Computers</v>
      </c>
      <c r="D421" t="str">
        <f t="array" ref="D421">IF(TRIM('Raw Data'!D421)&lt;&gt;"",TRIM('Raw Data'!D421),IFERROR(INDEX('Reference Table'!$A$2:$A$46,MATCH(VALUE('Raw Data'!E421),VALUE('Reference Table'!$B$2:$B$46),0)),"Unknown"))</f>
        <v>Comp_HDMI_Cable</v>
      </c>
      <c r="E421">
        <f>IF('Raw Data'!E421&lt;&gt;"",'Raw Data'!E421,IFERROR(INDEX('Reference Table'!$B$2:$B$32,MATCH(D421,'Reference Table'!$A$2:$A$32,0)),""))</f>
        <v>300</v>
      </c>
      <c r="F421">
        <f>IF('Raw Data'!F421&lt;&gt;"",'Raw Data'!F421,IFERROR(ROUND('Raw Data'!G421/E421,0),""))</f>
        <v>4</v>
      </c>
      <c r="G421">
        <f>IF('Raw Data'!G421&lt;&gt;"",'Raw Data'!G421,IFERROR(ROUND(E421*F421,2),""))</f>
        <v>1200</v>
      </c>
      <c r="H421" t="str">
        <f>'Raw Data'!H421</f>
        <v>Credit Card</v>
      </c>
      <c r="I421" t="str">
        <f>IF('Raw Data'!D421="",IF(D421="Unknown","Could not recover","Filled from Price lookup"),IF(TRIM('Raw Data'!D421)&lt;&gt;'Raw Data'!D421,"Trimmed whitespace","OK"))</f>
        <v>OK</v>
      </c>
      <c r="J421" t="str">
        <f t="shared" si="6"/>
        <v>OK</v>
      </c>
    </row>
    <row r="422" spans="1:10">
      <c r="A422" t="str">
        <f>'Raw Data'!A422</f>
        <v>TXN_1061</v>
      </c>
      <c r="B422" s="1">
        <f>'Raw Data'!B422</f>
        <v>45807</v>
      </c>
      <c r="C422" t="str">
        <f>IFERROR(INDEX('Reference Table'!$C$2:$C$46,MATCH(D422,'Reference Table'!$A$2:$A$46,0)),"Unknown")</f>
        <v>Electric Accessories</v>
      </c>
      <c r="D422" t="str">
        <f t="array" ref="D422">IF(TRIM('Raw Data'!D422)&lt;&gt;"",TRIM('Raw Data'!D422),IFERROR(INDEX('Reference Table'!$A$2:$A$46,MATCH(VALUE('Raw Data'!E422),VALUE('Reference Table'!$B$2:$B$46),0)),"Unknown"))</f>
        <v>Elec_Charger</v>
      </c>
      <c r="E422">
        <f>IF('Raw Data'!E422&lt;&gt;"",'Raw Data'!E422,IFERROR(INDEX('Reference Table'!$B$2:$B$32,MATCH(D422,'Reference Table'!$A$2:$A$32,0)),""))</f>
        <v>400</v>
      </c>
      <c r="F422">
        <f>IF('Raw Data'!F422&lt;&gt;"",'Raw Data'!F422,IFERROR(ROUND('Raw Data'!G422/E422,0),""))</f>
        <v>6</v>
      </c>
      <c r="G422">
        <f>IF('Raw Data'!G422&lt;&gt;"",'Raw Data'!G422,IFERROR(ROUND(E422*F422,2),""))</f>
        <v>2400</v>
      </c>
      <c r="H422" t="str">
        <f>'Raw Data'!H422</f>
        <v>Debit Card</v>
      </c>
      <c r="I422" t="str">
        <f>IF('Raw Data'!D422="",IF(D422="Unknown","Could not recover","Filled from Price lookup"),IF(TRIM('Raw Data'!D422)&lt;&gt;'Raw Data'!D422,"Trimmed whitespace","OK"))</f>
        <v>OK</v>
      </c>
      <c r="J422" t="str">
        <f t="shared" si="6"/>
        <v>OK</v>
      </c>
    </row>
    <row r="423" spans="1:10">
      <c r="A423" t="str">
        <f>'Raw Data'!A423</f>
        <v>TXN_1098</v>
      </c>
      <c r="B423" s="1">
        <f>'Raw Data'!B423</f>
        <v>45825</v>
      </c>
      <c r="C423" t="str">
        <f>IFERROR(INDEX('Reference Table'!$C$2:$C$46,MATCH(D423,'Reference Table'!$A$2:$A$46,0)),"Unknown")</f>
        <v>Furniture</v>
      </c>
      <c r="D423" t="str">
        <f t="array" ref="D423">IF(TRIM('Raw Data'!D423)&lt;&gt;"",TRIM('Raw Data'!D423),IFERROR(INDEX('Reference Table'!$A$2:$A$46,MATCH(VALUE('Raw Data'!E423),VALUE('Reference Table'!$B$2:$B$46),0)),"Unknown"))</f>
        <v>Furn_Lamp</v>
      </c>
      <c r="E423">
        <f>IF('Raw Data'!E423&lt;&gt;"",'Raw Data'!E423,IFERROR(INDEX('Reference Table'!$B$2:$B$32,MATCH(D423,'Reference Table'!$A$2:$A$32,0)),""))</f>
        <v>700</v>
      </c>
      <c r="F423">
        <f>IF('Raw Data'!F423&lt;&gt;"",'Raw Data'!F423,IFERROR(ROUND('Raw Data'!G423/E423,0),""))</f>
        <v>5</v>
      </c>
      <c r="G423">
        <f>IF('Raw Data'!G423&lt;&gt;"",'Raw Data'!G423,IFERROR(ROUND(E423*F423,2),""))</f>
        <v>3500</v>
      </c>
      <c r="H423" t="str">
        <f>'Raw Data'!H423</f>
        <v>Debit Card</v>
      </c>
      <c r="I423" t="str">
        <f>IF('Raw Data'!D423="",IF(D423="Unknown","Could not recover","Filled from Price lookup"),IF(TRIM('Raw Data'!D423)&lt;&gt;'Raw Data'!D423,"Trimmed whitespace","OK"))</f>
        <v>OK</v>
      </c>
      <c r="J423" t="str">
        <f t="shared" si="6"/>
        <v>OK</v>
      </c>
    </row>
    <row r="424" spans="1:10">
      <c r="A424" t="str">
        <f>'Raw Data'!A424</f>
        <v>TXN_1487</v>
      </c>
      <c r="B424" s="1">
        <f>'Raw Data'!B424</f>
        <v>45842</v>
      </c>
      <c r="C424" t="str">
        <f>IFERROR(INDEX('Reference Table'!$C$2:$C$46,MATCH(D424,'Reference Table'!$A$2:$A$46,0)),"Unknown")</f>
        <v>Electric Accessories</v>
      </c>
      <c r="D424" t="str">
        <f t="array" ref="D424">IF(TRIM('Raw Data'!D424)&lt;&gt;"",TRIM('Raw Data'!D424),IFERROR(INDEX('Reference Table'!$A$2:$A$46,MATCH(VALUE('Raw Data'!E424),VALUE('Reference Table'!$B$2:$B$46),0)),"Unknown"))</f>
        <v>Elec_Powerbank</v>
      </c>
      <c r="E424">
        <f>IF('Raw Data'!E424&lt;&gt;"",'Raw Data'!E424,IFERROR(INDEX('Reference Table'!$B$2:$B$32,MATCH(D424,'Reference Table'!$A$2:$A$32,0)),""))</f>
        <v>900</v>
      </c>
      <c r="F424">
        <f>IF('Raw Data'!F424&lt;&gt;"",'Raw Data'!F424,IFERROR(ROUND('Raw Data'!G424/E424,0),""))</f>
        <v>6</v>
      </c>
      <c r="G424">
        <f>IF('Raw Data'!G424&lt;&gt;"",'Raw Data'!G424,IFERROR(ROUND(E424*F424,2),""))</f>
        <v>5400</v>
      </c>
      <c r="H424" t="str">
        <f>'Raw Data'!H424</f>
        <v>Mobile Payment</v>
      </c>
      <c r="I424" t="str">
        <f>IF('Raw Data'!D424="",IF(D424="Unknown","Could not recover","Filled from Price lookup"),IF(TRIM('Raw Data'!D424)&lt;&gt;'Raw Data'!D424,"Trimmed whitespace","OK"))</f>
        <v>OK</v>
      </c>
      <c r="J424" t="str">
        <f t="shared" si="6"/>
        <v>OK</v>
      </c>
    </row>
    <row r="425" spans="1:10">
      <c r="A425" t="str">
        <f>'Raw Data'!A425</f>
        <v>TXN_1581</v>
      </c>
      <c r="B425" s="1">
        <f>'Raw Data'!B425</f>
        <v>45684</v>
      </c>
      <c r="C425" t="str">
        <f>IFERROR(INDEX('Reference Table'!$C$2:$C$46,MATCH(D425,'Reference Table'!$A$2:$A$46,0)),"Unknown")</f>
        <v>Beverages</v>
      </c>
      <c r="D425" t="str">
        <f t="array" ref="D425">IF(TRIM('Raw Data'!D425)&lt;&gt;"",TRIM('Raw Data'!D425),IFERROR(INDEX('Reference Table'!$A$2:$A$46,MATCH(VALUE('Raw Data'!E425),VALUE('Reference Table'!$B$2:$B$46),0)),"Unknown"))</f>
        <v>Bev_Juice_500ml</v>
      </c>
      <c r="E425">
        <f>IF('Raw Data'!E425&lt;&gt;"",'Raw Data'!E425,IFERROR(INDEX('Reference Table'!$B$2:$B$32,MATCH(D425,'Reference Table'!$A$2:$A$32,0)),""))</f>
        <v>45</v>
      </c>
      <c r="F425">
        <f>IF('Raw Data'!F425&lt;&gt;"",'Raw Data'!F425,IFERROR(ROUND('Raw Data'!G425/E425,0),""))</f>
        <v>4</v>
      </c>
      <c r="G425">
        <f>IF('Raw Data'!G425&lt;&gt;"",'Raw Data'!G425,IFERROR(ROUND(E425*F425,2),""))</f>
        <v>180</v>
      </c>
      <c r="H425" t="str">
        <f>'Raw Data'!H425</f>
        <v>Debit Card</v>
      </c>
      <c r="I425" t="str">
        <f>IF('Raw Data'!D425="",IF(D425="Unknown","Could not recover","Filled from Price lookup"),IF(TRIM('Raw Data'!D425)&lt;&gt;'Raw Data'!D425,"Trimmed whitespace","OK"))</f>
        <v>OK</v>
      </c>
      <c r="J425" t="str">
        <f t="shared" si="6"/>
        <v>OK</v>
      </c>
    </row>
    <row r="426" spans="1:10">
      <c r="A426" t="str">
        <f>'Raw Data'!A426</f>
        <v>TXN_1599</v>
      </c>
      <c r="B426" s="1">
        <f>'Raw Data'!B426</f>
        <v>45757</v>
      </c>
      <c r="C426" t="str">
        <f>IFERROR(INDEX('Reference Table'!$C$2:$C$46,MATCH(D426,'Reference Table'!$A$2:$A$46,0)),"Unknown")</f>
        <v>Food</v>
      </c>
      <c r="D426" t="str">
        <f t="array" ref="D426">IF(TRIM('Raw Data'!D426)&lt;&gt;"",TRIM('Raw Data'!D426),IFERROR(INDEX('Reference Table'!$A$2:$A$46,MATCH(VALUE('Raw Data'!E426),VALUE('Reference Table'!$B$2:$B$46),0)),"Unknown"))</f>
        <v>Food_Oats_1kg</v>
      </c>
      <c r="E426">
        <f>IF('Raw Data'!E426&lt;&gt;"",'Raw Data'!E426,IFERROR(INDEX('Reference Table'!$B$2:$B$32,MATCH(D426,'Reference Table'!$A$2:$A$32,0)),""))</f>
        <v>120</v>
      </c>
      <c r="F426">
        <f>IF('Raw Data'!F426&lt;&gt;"",'Raw Data'!F426,IFERROR(ROUND('Raw Data'!G426/E426,0),""))</f>
        <v>5</v>
      </c>
      <c r="G426">
        <f>IF('Raw Data'!G426&lt;&gt;"",'Raw Data'!G426,IFERROR(ROUND(E426*F426,2),""))</f>
        <v>600</v>
      </c>
      <c r="H426" t="str">
        <f>'Raw Data'!H426</f>
        <v>Mobile Payment</v>
      </c>
      <c r="I426" t="str">
        <f>IF('Raw Data'!D426="",IF(D426="Unknown","Could not recover","Filled from Price lookup"),IF(TRIM('Raw Data'!D426)&lt;&gt;'Raw Data'!D426,"Trimmed whitespace","OK"))</f>
        <v>OK</v>
      </c>
      <c r="J426" t="str">
        <f t="shared" si="6"/>
        <v>OK</v>
      </c>
    </row>
    <row r="427" spans="1:10">
      <c r="A427" t="str">
        <f>'Raw Data'!A427</f>
        <v>TXN_1004</v>
      </c>
      <c r="B427" s="1">
        <f>'Raw Data'!B427</f>
        <v>45714</v>
      </c>
      <c r="C427" t="str">
        <f>IFERROR(INDEX('Reference Table'!$C$2:$C$46,MATCH(D427,'Reference Table'!$A$2:$A$46,0)),"Unknown")</f>
        <v>Computers</v>
      </c>
      <c r="D427" t="str">
        <f t="array" ref="D427">IF(TRIM('Raw Data'!D427)&lt;&gt;"",TRIM('Raw Data'!D427),IFERROR(INDEX('Reference Table'!$A$2:$A$46,MATCH(VALUE('Raw Data'!E427),VALUE('Reference Table'!$B$2:$B$46),0)),"Unknown"))</f>
        <v>Comp_Webcam</v>
      </c>
      <c r="E427">
        <f>IF('Raw Data'!E427&lt;&gt;"",'Raw Data'!E427,IFERROR(INDEX('Reference Table'!$B$2:$B$32,MATCH(D427,'Reference Table'!$A$2:$A$32,0)),""))</f>
        <v>1200</v>
      </c>
      <c r="F427">
        <f>IF('Raw Data'!F427&lt;&gt;"",'Raw Data'!F427,IFERROR(ROUND('Raw Data'!G427/E427,0),""))</f>
        <v>4</v>
      </c>
      <c r="G427">
        <f>IF('Raw Data'!G427&lt;&gt;"",'Raw Data'!G427,IFERROR(ROUND(E427*F427,2),""))</f>
        <v>4800</v>
      </c>
      <c r="H427" t="str">
        <f>'Raw Data'!H427</f>
        <v>Mobile Payment</v>
      </c>
      <c r="I427" t="str">
        <f>IF('Raw Data'!D427="",IF(D427="Unknown","Could not recover","Filled from Price lookup"),IF(TRIM('Raw Data'!D427)&lt;&gt;'Raw Data'!D427,"Trimmed whitespace","OK"))</f>
        <v>OK</v>
      </c>
      <c r="J427" t="str">
        <f t="shared" si="6"/>
        <v>OK</v>
      </c>
    </row>
    <row r="428" spans="1:10">
      <c r="A428" t="str">
        <f>'Raw Data'!A428</f>
        <v>TXN_1227</v>
      </c>
      <c r="B428" s="1">
        <f>'Raw Data'!B428</f>
        <v>45820</v>
      </c>
      <c r="C428" t="str">
        <f>IFERROR(INDEX('Reference Table'!$C$2:$C$46,MATCH(D428,'Reference Table'!$A$2:$A$46,0)),"Unknown")</f>
        <v>Butchers</v>
      </c>
      <c r="D428" t="str">
        <f t="array" ref="D428">IF(TRIM('Raw Data'!D428)&lt;&gt;"",TRIM('Raw Data'!D428),IFERROR(INDEX('Reference Table'!$A$2:$A$46,MATCH(VALUE('Raw Data'!E428),VALUE('Reference Table'!$B$2:$B$46),0)),"Unknown"))</f>
        <v>Meat_Fish_1kg</v>
      </c>
      <c r="E428">
        <f>IF('Raw Data'!E428&lt;&gt;"",'Raw Data'!E428,IFERROR(INDEX('Reference Table'!$B$2:$B$32,MATCH(D428,'Reference Table'!$A$2:$A$32,0)),""))</f>
        <v>380</v>
      </c>
      <c r="F428">
        <f>IF('Raw Data'!F428&lt;&gt;"",'Raw Data'!F428,IFERROR(ROUND('Raw Data'!G428/E428,0),""))</f>
        <v>2</v>
      </c>
      <c r="G428">
        <f>IF('Raw Data'!G428&lt;&gt;"",'Raw Data'!G428,IFERROR(ROUND(E428*F428,2),""))</f>
        <v>760</v>
      </c>
      <c r="H428" t="str">
        <f>'Raw Data'!H428</f>
        <v>Credit Card</v>
      </c>
      <c r="I428" t="str">
        <f>IF('Raw Data'!D428="",IF(D428="Unknown","Could not recover","Filled from Price lookup"),IF(TRIM('Raw Data'!D428)&lt;&gt;'Raw Data'!D428,"Trimmed whitespace","OK"))</f>
        <v>OK</v>
      </c>
      <c r="J428" t="str">
        <f t="shared" si="6"/>
        <v>OK</v>
      </c>
    </row>
    <row r="429" spans="1:10">
      <c r="A429" t="str">
        <f>'Raw Data'!A429</f>
        <v>TXN_1348</v>
      </c>
      <c r="B429" s="1">
        <f>'Raw Data'!B429</f>
        <v>45841</v>
      </c>
      <c r="C429" t="str">
        <f>IFERROR(INDEX('Reference Table'!$C$2:$C$46,MATCH(D429,'Reference Table'!$A$2:$A$46,0)),"Unknown")</f>
        <v>Furniture</v>
      </c>
      <c r="D429" t="str">
        <f t="array" ref="D429">IF(TRIM('Raw Data'!D429)&lt;&gt;"",TRIM('Raw Data'!D429),IFERROR(INDEX('Reference Table'!$A$2:$A$46,MATCH(VALUE('Raw Data'!E429),VALUE('Reference Table'!$B$2:$B$46),0)),"Unknown"))</f>
        <v>Furn_Small_Table</v>
      </c>
      <c r="E429">
        <f>IF('Raw Data'!E429&lt;&gt;"",'Raw Data'!E429,IFERROR(INDEX('Reference Table'!$B$2:$B$32,MATCH(D429,'Reference Table'!$A$2:$A$32,0)),""))</f>
        <v>3200</v>
      </c>
      <c r="F429">
        <f>IF('Raw Data'!F429&lt;&gt;"",'Raw Data'!F429,IFERROR(ROUND('Raw Data'!G429/E429,0),""))</f>
        <v>2</v>
      </c>
      <c r="G429">
        <f>IF('Raw Data'!G429&lt;&gt;"",'Raw Data'!G429,IFERROR(ROUND(E429*F429,2),""))</f>
        <v>6400</v>
      </c>
      <c r="H429" t="str">
        <f>'Raw Data'!H429</f>
        <v>Credit Card</v>
      </c>
      <c r="I429" t="str">
        <f>IF('Raw Data'!D429="",IF(D429="Unknown","Could not recover","Filled from Price lookup"),IF(TRIM('Raw Data'!D429)&lt;&gt;'Raw Data'!D429,"Trimmed whitespace","OK"))</f>
        <v>OK</v>
      </c>
      <c r="J429" t="str">
        <f t="shared" si="6"/>
        <v>OK</v>
      </c>
    </row>
    <row r="430" spans="1:10">
      <c r="A430" t="str">
        <f>'Raw Data'!A430</f>
        <v>TXN_1265</v>
      </c>
      <c r="B430" s="1">
        <f>'Raw Data'!B430</f>
        <v>45733</v>
      </c>
      <c r="C430" t="str">
        <f>IFERROR(INDEX('Reference Table'!$C$2:$C$46,MATCH(D430,'Reference Table'!$A$2:$A$46,0)),"Unknown")</f>
        <v>Furniture</v>
      </c>
      <c r="D430" t="str">
        <f t="array" ref="D430">IF(TRIM('Raw Data'!D430)&lt;&gt;"",TRIM('Raw Data'!D430),IFERROR(INDEX('Reference Table'!$A$2:$A$46,MATCH(VALUE('Raw Data'!E430),VALUE('Reference Table'!$B$2:$B$46),0)),"Unknown"))</f>
        <v>Furn_Shelf</v>
      </c>
      <c r="E430">
        <f>IF('Raw Data'!E430&lt;&gt;"",'Raw Data'!E430,IFERROR(INDEX('Reference Table'!$B$2:$B$32,MATCH(D430,'Reference Table'!$A$2:$A$32,0)),""))</f>
        <v>1800</v>
      </c>
      <c r="F430">
        <f>IF('Raw Data'!F430&lt;&gt;"",'Raw Data'!F430,IFERROR(ROUND('Raw Data'!G430/E430,0),""))</f>
        <v>5</v>
      </c>
      <c r="G430">
        <f>IF('Raw Data'!G430&lt;&gt;"",'Raw Data'!G430,IFERROR(ROUND(E430*F430,2),""))</f>
        <v>9000</v>
      </c>
      <c r="H430" t="str">
        <f>'Raw Data'!H430</f>
        <v>Mobile Payment</v>
      </c>
      <c r="I430" t="str">
        <f>IF('Raw Data'!D430="",IF(D430="Unknown","Could not recover","Filled from Price lookup"),IF(TRIM('Raw Data'!D430)&lt;&gt;'Raw Data'!D430,"Trimmed whitespace","OK"))</f>
        <v>OK</v>
      </c>
      <c r="J430" t="str">
        <f t="shared" si="6"/>
        <v>OK</v>
      </c>
    </row>
    <row r="431" spans="1:10">
      <c r="A431" t="str">
        <f>'Raw Data'!A431</f>
        <v>TXN_1583</v>
      </c>
      <c r="B431" s="1">
        <f>'Raw Data'!B431</f>
        <v>45858</v>
      </c>
      <c r="C431" t="str">
        <f>IFERROR(INDEX('Reference Table'!$C$2:$C$46,MATCH(D431,'Reference Table'!$A$2:$A$46,0)),"Unknown")</f>
        <v>Butchers</v>
      </c>
      <c r="D431" t="str">
        <f t="array" ref="D431">IF(TRIM('Raw Data'!D431)&lt;&gt;"",TRIM('Raw Data'!D431),IFERROR(INDEX('Reference Table'!$A$2:$A$46,MATCH(VALUE('Raw Data'!E431),VALUE('Reference Table'!$B$2:$B$46),0)),"Unknown"))</f>
        <v>Meat_Mutton_1kg</v>
      </c>
      <c r="E431">
        <f>IF('Raw Data'!E431&lt;&gt;"",'Raw Data'!E431,IFERROR(INDEX('Reference Table'!$B$2:$B$32,MATCH(D431,'Reference Table'!$A$2:$A$32,0)),""))</f>
        <v>650</v>
      </c>
      <c r="F431">
        <f>IF('Raw Data'!F431&lt;&gt;"",'Raw Data'!F431,IFERROR(ROUND('Raw Data'!G431/E431,0),""))</f>
        <v>4</v>
      </c>
      <c r="G431">
        <f>IF('Raw Data'!G431&lt;&gt;"",'Raw Data'!G431,IFERROR(ROUND(E431*F431,2),""))</f>
        <v>2600</v>
      </c>
      <c r="H431" t="str">
        <f>'Raw Data'!H431</f>
        <v>Credit Card</v>
      </c>
      <c r="I431" t="str">
        <f>IF('Raw Data'!D431="",IF(D431="Unknown","Could not recover","Filled from Price lookup"),IF(TRIM('Raw Data'!D431)&lt;&gt;'Raw Data'!D431,"Trimmed whitespace","OK"))</f>
        <v>OK</v>
      </c>
      <c r="J431" t="str">
        <f t="shared" si="6"/>
        <v>OK</v>
      </c>
    </row>
    <row r="432" spans="1:10">
      <c r="A432" t="str">
        <f>'Raw Data'!A432</f>
        <v>TXN_1303</v>
      </c>
      <c r="B432" s="1">
        <f>'Raw Data'!B432</f>
        <v>45708</v>
      </c>
      <c r="C432" t="str">
        <f>IFERROR(INDEX('Reference Table'!$C$2:$C$46,MATCH(D432,'Reference Table'!$A$2:$A$46,0)),"Unknown")</f>
        <v>Food</v>
      </c>
      <c r="D432" t="str">
        <f t="array" ref="D432">IF(TRIM('Raw Data'!D432)&lt;&gt;"",TRIM('Raw Data'!D432),IFERROR(INDEX('Reference Table'!$A$2:$A$46,MATCH(VALUE('Raw Data'!E432),VALUE('Reference Table'!$B$2:$B$46),0)),"Unknown"))</f>
        <v>Food_Oats_1kg</v>
      </c>
      <c r="E432">
        <f>IF('Raw Data'!E432&lt;&gt;"",'Raw Data'!E432,IFERROR(INDEX('Reference Table'!$B$2:$B$32,MATCH(D432,'Reference Table'!$A$2:$A$32,0)),""))</f>
        <v>120</v>
      </c>
      <c r="F432">
        <f>IF('Raw Data'!F432&lt;&gt;"",'Raw Data'!F432,IFERROR(ROUND('Raw Data'!G432/E432,0),""))</f>
        <v>3</v>
      </c>
      <c r="G432">
        <f>IF('Raw Data'!G432&lt;&gt;"",'Raw Data'!G432,IFERROR(ROUND(E432*F432,2),""))</f>
        <v>360</v>
      </c>
      <c r="H432" t="str">
        <f>'Raw Data'!H432</f>
        <v>Credit Card</v>
      </c>
      <c r="I432" t="str">
        <f>IF('Raw Data'!D432="",IF(D432="Unknown","Could not recover","Filled from Price lookup"),IF(TRIM('Raw Data'!D432)&lt;&gt;'Raw Data'!D432,"Trimmed whitespace","OK"))</f>
        <v>OK</v>
      </c>
      <c r="J432" t="str">
        <f t="shared" si="6"/>
        <v>OK</v>
      </c>
    </row>
    <row r="433" spans="1:10">
      <c r="A433" t="str">
        <f>'Raw Data'!A433</f>
        <v>TXN_1466</v>
      </c>
      <c r="B433" s="1">
        <f>'Raw Data'!B433</f>
        <v>45718</v>
      </c>
      <c r="C433" t="str">
        <f>IFERROR(INDEX('Reference Table'!$C$2:$C$46,MATCH(D433,'Reference Table'!$A$2:$A$46,0)),"Unknown")</f>
        <v>Butchers</v>
      </c>
      <c r="D433" t="str">
        <f t="array" ref="D433">IF(TRIM('Raw Data'!D433)&lt;&gt;"",TRIM('Raw Data'!D433),IFERROR(INDEX('Reference Table'!$A$2:$A$46,MATCH(VALUE('Raw Data'!E433),VALUE('Reference Table'!$B$2:$B$46),0)),"Unknown"))</f>
        <v>Meat_Eggs_Dozen</v>
      </c>
      <c r="E433">
        <f>IF('Raw Data'!E433&lt;&gt;"",'Raw Data'!E433,IFERROR(INDEX('Reference Table'!$B$2:$B$32,MATCH(D433,'Reference Table'!$A$2:$A$32,0)),""))</f>
        <v>75</v>
      </c>
      <c r="F433">
        <f>IF('Raw Data'!F433&lt;&gt;"",'Raw Data'!F433,IFERROR(ROUND('Raw Data'!G433/E433,0),""))</f>
        <v>6</v>
      </c>
      <c r="G433">
        <f>IF('Raw Data'!G433&lt;&gt;"",'Raw Data'!G433,IFERROR(ROUND(E433*F433,2),""))</f>
        <v>450</v>
      </c>
      <c r="H433" t="str">
        <f>'Raw Data'!H433</f>
        <v>Cash</v>
      </c>
      <c r="I433" t="str">
        <f>IF('Raw Data'!D433="",IF(D433="Unknown","Could not recover","Filled from Price lookup"),IF(TRIM('Raw Data'!D433)&lt;&gt;'Raw Data'!D433,"Trimmed whitespace","OK"))</f>
        <v>OK</v>
      </c>
      <c r="J433" t="str">
        <f t="shared" si="6"/>
        <v>OK</v>
      </c>
    </row>
    <row r="434" spans="1:10">
      <c r="A434" t="str">
        <f>'Raw Data'!A434</f>
        <v>TXN_1039</v>
      </c>
      <c r="B434" s="1">
        <f>'Raw Data'!B434</f>
        <v>45824</v>
      </c>
      <c r="C434" t="str">
        <f>IFERROR(INDEX('Reference Table'!$C$2:$C$46,MATCH(D434,'Reference Table'!$A$2:$A$46,0)),"Unknown")</f>
        <v>Electric Accessories</v>
      </c>
      <c r="D434" t="str">
        <f t="array" ref="D434">IF(TRIM('Raw Data'!D434)&lt;&gt;"",TRIM('Raw Data'!D434),IFERROR(INDEX('Reference Table'!$A$2:$A$46,MATCH(VALUE('Raw Data'!E434),VALUE('Reference Table'!$B$2:$B$46),0)),"Unknown"))</f>
        <v>Elec_Cable_USB</v>
      </c>
      <c r="E434">
        <f>IF('Raw Data'!E434&lt;&gt;"",'Raw Data'!E434,IFERROR(INDEX('Reference Table'!$B$2:$B$32,MATCH(D434,'Reference Table'!$A$2:$A$32,0)),""))</f>
        <v>150</v>
      </c>
      <c r="F434">
        <f>IF('Raw Data'!F434&lt;&gt;"",'Raw Data'!F434,IFERROR(ROUND('Raw Data'!G434/E434,0),""))</f>
        <v>6</v>
      </c>
      <c r="G434">
        <f>IF('Raw Data'!G434&lt;&gt;"",'Raw Data'!G434,IFERROR(ROUND(E434*F434,2),""))</f>
        <v>900</v>
      </c>
      <c r="H434" t="str">
        <f>'Raw Data'!H434</f>
        <v>Debit Card</v>
      </c>
      <c r="I434" t="str">
        <f>IF('Raw Data'!D434="",IF(D434="Unknown","Could not recover","Filled from Price lookup"),IF(TRIM('Raw Data'!D434)&lt;&gt;'Raw Data'!D434,"Trimmed whitespace","OK"))</f>
        <v>Trimmed whitespace</v>
      </c>
      <c r="J434" t="str">
        <f t="shared" si="6"/>
        <v>OK</v>
      </c>
    </row>
    <row r="435" spans="1:10">
      <c r="A435" t="str">
        <f>'Raw Data'!A435</f>
        <v>TXN_1244</v>
      </c>
      <c r="B435" s="1">
        <f>'Raw Data'!B435</f>
        <v>45815</v>
      </c>
      <c r="C435" t="str">
        <f>IFERROR(INDEX('Reference Table'!$C$2:$C$46,MATCH(D435,'Reference Table'!$A$2:$A$46,0)),"Unknown")</f>
        <v>Food</v>
      </c>
      <c r="D435" t="str">
        <f t="array" ref="D435">IF(TRIM('Raw Data'!D435)&lt;&gt;"",TRIM('Raw Data'!D435),IFERROR(INDEX('Reference Table'!$A$2:$A$46,MATCH(VALUE('Raw Data'!E435),VALUE('Reference Table'!$B$2:$B$46),0)),"Unknown"))</f>
        <v>Food_Wheat_1kg</v>
      </c>
      <c r="E435">
        <f>IF('Raw Data'!E435&lt;&gt;"",'Raw Data'!E435,IFERROR(INDEX('Reference Table'!$B$2:$B$32,MATCH(D435,'Reference Table'!$A$2:$A$32,0)),""))</f>
        <v>55</v>
      </c>
      <c r="F435">
        <f>IF('Raw Data'!F435&lt;&gt;"",'Raw Data'!F435,IFERROR(ROUND('Raw Data'!G435/E435,0),""))</f>
        <v>4</v>
      </c>
      <c r="G435">
        <f>IF('Raw Data'!G435&lt;&gt;"",'Raw Data'!G435,IFERROR(ROUND(E435*F435,2),""))</f>
        <v>220</v>
      </c>
      <c r="H435" t="str">
        <f>'Raw Data'!H435</f>
        <v>Mobile Payment</v>
      </c>
      <c r="I435" t="str">
        <f>IF('Raw Data'!D435="",IF(D435="Unknown","Could not recover","Filled from Price lookup"),IF(TRIM('Raw Data'!D435)&lt;&gt;'Raw Data'!D435,"Trimmed whitespace","OK"))</f>
        <v>OK</v>
      </c>
      <c r="J435" t="str">
        <f t="shared" si="6"/>
        <v>OK</v>
      </c>
    </row>
    <row r="436" spans="1:10">
      <c r="A436" t="str">
        <f>'Raw Data'!A436</f>
        <v>TXN_1109</v>
      </c>
      <c r="B436" s="1">
        <f>'Raw Data'!B436</f>
        <v>45739</v>
      </c>
      <c r="C436" t="str">
        <f>IFERROR(INDEX('Reference Table'!$C$2:$C$46,MATCH(D436,'Reference Table'!$A$2:$A$46,0)),"Unknown")</f>
        <v>Furniture</v>
      </c>
      <c r="D436" t="str">
        <f t="array" ref="D436">IF(TRIM('Raw Data'!D436)&lt;&gt;"",TRIM('Raw Data'!D436),IFERROR(INDEX('Reference Table'!$A$2:$A$46,MATCH(VALUE('Raw Data'!E436),VALUE('Reference Table'!$B$2:$B$46),0)),"Unknown"))</f>
        <v>Furn_Chair</v>
      </c>
      <c r="E436">
        <f>IF('Raw Data'!E436&lt;&gt;"",'Raw Data'!E436,IFERROR(INDEX('Reference Table'!$B$2:$B$32,MATCH(D436,'Reference Table'!$A$2:$A$32,0)),""))</f>
        <v>2500</v>
      </c>
      <c r="F436">
        <f>IF('Raw Data'!F436&lt;&gt;"",'Raw Data'!F436,IFERROR(ROUND('Raw Data'!G436/E436,0),""))</f>
        <v>5</v>
      </c>
      <c r="G436">
        <f>IF('Raw Data'!G436&lt;&gt;"",'Raw Data'!G436,IFERROR(ROUND(E436*F436,2),""))</f>
        <v>12500</v>
      </c>
      <c r="H436" t="str">
        <f>'Raw Data'!H436</f>
        <v>Mobile Payment</v>
      </c>
      <c r="I436" t="str">
        <f>IF('Raw Data'!D436="",IF(D436="Unknown","Could not recover","Filled from Price lookup"),IF(TRIM('Raw Data'!D436)&lt;&gt;'Raw Data'!D436,"Trimmed whitespace","OK"))</f>
        <v>OK</v>
      </c>
      <c r="J436" t="str">
        <f t="shared" si="6"/>
        <v>OK</v>
      </c>
    </row>
    <row r="437" spans="1:10">
      <c r="A437" t="str">
        <f>'Raw Data'!A437</f>
        <v>TXN_1470</v>
      </c>
      <c r="B437" s="1">
        <f>'Raw Data'!B437</f>
        <v>45764</v>
      </c>
      <c r="C437" t="str">
        <f>IFERROR(INDEX('Reference Table'!$C$2:$C$46,MATCH(D437,'Reference Table'!$A$2:$A$46,0)),"Unknown")</f>
        <v>Furniture</v>
      </c>
      <c r="D437" t="str">
        <f t="array" ref="D437">IF(TRIM('Raw Data'!D437)&lt;&gt;"",TRIM('Raw Data'!D437),IFERROR(INDEX('Reference Table'!$A$2:$A$46,MATCH(VALUE('Raw Data'!E437),VALUE('Reference Table'!$B$2:$B$46),0)),"Unknown"))</f>
        <v>Furn_Shelf</v>
      </c>
      <c r="E437">
        <f>IF('Raw Data'!E437&lt;&gt;"",'Raw Data'!E437,IFERROR(INDEX('Reference Table'!$B$2:$B$32,MATCH(D437,'Reference Table'!$A$2:$A$32,0)),""))</f>
        <v>1800</v>
      </c>
      <c r="F437">
        <f>IF('Raw Data'!F437&lt;&gt;"",'Raw Data'!F437,IFERROR(ROUND('Raw Data'!G437/E437,0),""))</f>
        <v>3</v>
      </c>
      <c r="G437">
        <f>IF('Raw Data'!G437&lt;&gt;"",'Raw Data'!G437,IFERROR(ROUND(E437*F437,2),""))</f>
        <v>5400</v>
      </c>
      <c r="H437" t="str">
        <f>'Raw Data'!H437</f>
        <v>Mobile Payment</v>
      </c>
      <c r="I437" t="str">
        <f>IF('Raw Data'!D437="",IF(D437="Unknown","Could not recover","Filled from Price lookup"),IF(TRIM('Raw Data'!D437)&lt;&gt;'Raw Data'!D437,"Trimmed whitespace","OK"))</f>
        <v>OK</v>
      </c>
      <c r="J437" t="str">
        <f t="shared" si="6"/>
        <v>OK</v>
      </c>
    </row>
    <row r="438" spans="1:10">
      <c r="A438" t="str">
        <f>'Raw Data'!A438</f>
        <v>TXN_1048</v>
      </c>
      <c r="B438" s="1">
        <f>'Raw Data'!B438</f>
        <v>45825</v>
      </c>
      <c r="C438" t="str">
        <f>IFERROR(INDEX('Reference Table'!$C$2:$C$46,MATCH(D438,'Reference Table'!$A$2:$A$46,0)),"Unknown")</f>
        <v>Beverages</v>
      </c>
      <c r="D438" t="str">
        <f t="array" ref="D438">IF(TRIM('Raw Data'!D438)&lt;&gt;"",TRIM('Raw Data'!D438),IFERROR(INDEX('Reference Table'!$A$2:$A$46,MATCH(VALUE('Raw Data'!E438),VALUE('Reference Table'!$B$2:$B$46),0)),"Unknown"))</f>
        <v>Bev_Coffee_200g</v>
      </c>
      <c r="E438">
        <f>IF('Raw Data'!E438&lt;&gt;"",'Raw Data'!E438,IFERROR(INDEX('Reference Table'!$B$2:$B$32,MATCH(D438,'Reference Table'!$A$2:$A$32,0)),""))</f>
        <v>180</v>
      </c>
      <c r="F438">
        <f>IF('Raw Data'!F438&lt;&gt;"",'Raw Data'!F438,IFERROR(ROUND('Raw Data'!G438/E438,0),""))</f>
        <v>6</v>
      </c>
      <c r="G438">
        <f>IF('Raw Data'!G438&lt;&gt;"",'Raw Data'!G438,IFERROR(ROUND(E438*F438,2),""))</f>
        <v>1080</v>
      </c>
      <c r="H438" t="str">
        <f>'Raw Data'!H438</f>
        <v>Cash</v>
      </c>
      <c r="I438" t="str">
        <f>IF('Raw Data'!D438="",IF(D438="Unknown","Could not recover","Filled from Price lookup"),IF(TRIM('Raw Data'!D438)&lt;&gt;'Raw Data'!D438,"Trimmed whitespace","OK"))</f>
        <v>Filled from Price lookup</v>
      </c>
      <c r="J438" t="str">
        <f t="shared" si="6"/>
        <v>OK</v>
      </c>
    </row>
    <row r="439" spans="1:10">
      <c r="A439" t="str">
        <f>'Raw Data'!A439</f>
        <v>TXN_1360</v>
      </c>
      <c r="B439" s="1">
        <f>'Raw Data'!B439</f>
        <v>45722</v>
      </c>
      <c r="C439" t="str">
        <f>IFERROR(INDEX('Reference Table'!$C$2:$C$46,MATCH(D439,'Reference Table'!$A$2:$A$46,0)),"Unknown")</f>
        <v>Computers</v>
      </c>
      <c r="D439" t="str">
        <f t="array" ref="D439">IF(TRIM('Raw Data'!D439)&lt;&gt;"",TRIM('Raw Data'!D439),IFERROR(INDEX('Reference Table'!$A$2:$A$46,MATCH(VALUE('Raw Data'!E439),VALUE('Reference Table'!$B$2:$B$46),0)),"Unknown"))</f>
        <v>Comp_Webcam</v>
      </c>
      <c r="E439">
        <f>IF('Raw Data'!E439&lt;&gt;"",'Raw Data'!E439,IFERROR(INDEX('Reference Table'!$B$2:$B$32,MATCH(D439,'Reference Table'!$A$2:$A$32,0)),""))</f>
        <v>1200</v>
      </c>
      <c r="F439">
        <f>IF('Raw Data'!F439&lt;&gt;"",'Raw Data'!F439,IFERROR(ROUND('Raw Data'!G439/E439,0),""))</f>
        <v>4</v>
      </c>
      <c r="G439">
        <f>IF('Raw Data'!G439&lt;&gt;"",'Raw Data'!G439,IFERROR(ROUND(E439*F439,2),""))</f>
        <v>4800</v>
      </c>
      <c r="H439" t="str">
        <f>'Raw Data'!H439</f>
        <v>Cash</v>
      </c>
      <c r="I439" t="str">
        <f>IF('Raw Data'!D439="",IF(D439="Unknown","Could not recover","Filled from Price lookup"),IF(TRIM('Raw Data'!D439)&lt;&gt;'Raw Data'!D439,"Trimmed whitespace","OK"))</f>
        <v>OK</v>
      </c>
      <c r="J439" t="str">
        <f t="shared" si="6"/>
        <v>OK</v>
      </c>
    </row>
    <row r="440" spans="1:10">
      <c r="A440" t="str">
        <f>'Raw Data'!A440</f>
        <v>TXN_1046</v>
      </c>
      <c r="B440" s="1">
        <f>'Raw Data'!B440</f>
        <v>45682</v>
      </c>
      <c r="C440" t="str">
        <f>IFERROR(INDEX('Reference Table'!$C$2:$C$46,MATCH(D440,'Reference Table'!$A$2:$A$46,0)),"Unknown")</f>
        <v>Electric Accessories</v>
      </c>
      <c r="D440" t="str">
        <f t="array" ref="D440">IF(TRIM('Raw Data'!D440)&lt;&gt;"",TRIM('Raw Data'!D440),IFERROR(INDEX('Reference Table'!$A$2:$A$46,MATCH(VALUE('Raw Data'!E440),VALUE('Reference Table'!$B$2:$B$46),0)),"Unknown"))</f>
        <v>Elec_Charger</v>
      </c>
      <c r="E440">
        <f>IF('Raw Data'!E440&lt;&gt;"",'Raw Data'!E440,IFERROR(INDEX('Reference Table'!$B$2:$B$32,MATCH(D440,'Reference Table'!$A$2:$A$32,0)),""))</f>
        <v>400</v>
      </c>
      <c r="F440">
        <f>IF('Raw Data'!F440&lt;&gt;"",'Raw Data'!F440,IFERROR(ROUND('Raw Data'!G440/E440,0),""))</f>
        <v>2</v>
      </c>
      <c r="G440">
        <f>IF('Raw Data'!G440&lt;&gt;"",'Raw Data'!G440,IFERROR(ROUND(E440*F440,2),""))</f>
        <v>800</v>
      </c>
      <c r="H440" t="str">
        <f>'Raw Data'!H440</f>
        <v>Cash</v>
      </c>
      <c r="I440" t="str">
        <f>IF('Raw Data'!D440="",IF(D440="Unknown","Could not recover","Filled from Price lookup"),IF(TRIM('Raw Data'!D440)&lt;&gt;'Raw Data'!D440,"Trimmed whitespace","OK"))</f>
        <v>OK</v>
      </c>
      <c r="J440" t="str">
        <f t="shared" si="6"/>
        <v>OK</v>
      </c>
    </row>
    <row r="441" spans="1:10">
      <c r="A441" t="str">
        <f>'Raw Data'!A441</f>
        <v>TXN_1456</v>
      </c>
      <c r="B441" s="1">
        <f>'Raw Data'!B441</f>
        <v>45660</v>
      </c>
      <c r="C441" t="str">
        <f>IFERROR(INDEX('Reference Table'!$C$2:$C$46,MATCH(D441,'Reference Table'!$A$2:$A$46,0)),"Unknown")</f>
        <v>Patisserie</v>
      </c>
      <c r="D441" t="str">
        <f t="array" ref="D441">IF(TRIM('Raw Data'!D441)&lt;&gt;"",TRIM('Raw Data'!D441),IFERROR(INDEX('Reference Table'!$A$2:$A$46,MATCH(VALUE('Raw Data'!E441),VALUE('Reference Table'!$B$2:$B$46),0)),"Unknown"))</f>
        <v>Pat_Cake_Slice</v>
      </c>
      <c r="E441">
        <f>IF('Raw Data'!E441&lt;&gt;"",'Raw Data'!E441,IFERROR(INDEX('Reference Table'!$B$2:$B$32,MATCH(D441,'Reference Table'!$A$2:$A$32,0)),""))</f>
        <v>90</v>
      </c>
      <c r="F441">
        <f>IF('Raw Data'!F441&lt;&gt;"",'Raw Data'!F441,IFERROR(ROUND('Raw Data'!G441/E441,0),""))</f>
        <v>1</v>
      </c>
      <c r="G441">
        <f>IF('Raw Data'!G441&lt;&gt;"",'Raw Data'!G441,IFERROR(ROUND(E441*F441,2),""))</f>
        <v>90</v>
      </c>
      <c r="H441" t="str">
        <f>'Raw Data'!H441</f>
        <v>Debit Card</v>
      </c>
      <c r="I441" t="str">
        <f>IF('Raw Data'!D441="",IF(D441="Unknown","Could not recover","Filled from Price lookup"),IF(TRIM('Raw Data'!D441)&lt;&gt;'Raw Data'!D441,"Trimmed whitespace","OK"))</f>
        <v>OK</v>
      </c>
      <c r="J441" t="str">
        <f t="shared" si="6"/>
        <v>OK</v>
      </c>
    </row>
    <row r="442" spans="1:10">
      <c r="A442" t="str">
        <f>'Raw Data'!A442</f>
        <v>TXN_1512</v>
      </c>
      <c r="B442" s="1">
        <f>'Raw Data'!B442</f>
        <v>45749</v>
      </c>
      <c r="C442" t="str">
        <f>IFERROR(INDEX('Reference Table'!$C$2:$C$46,MATCH(D442,'Reference Table'!$A$2:$A$46,0)),"Unknown")</f>
        <v>Computers</v>
      </c>
      <c r="D442" t="str">
        <f t="array" ref="D442">IF(TRIM('Raw Data'!D442)&lt;&gt;"",TRIM('Raw Data'!D442),IFERROR(INDEX('Reference Table'!$A$2:$A$46,MATCH(VALUE('Raw Data'!E442),VALUE('Reference Table'!$B$2:$B$46),0)),"Unknown"))</f>
        <v>Comp_Webcam</v>
      </c>
      <c r="E442">
        <f>IF('Raw Data'!E442&lt;&gt;"",'Raw Data'!E442,IFERROR(INDEX('Reference Table'!$B$2:$B$32,MATCH(D442,'Reference Table'!$A$2:$A$32,0)),""))</f>
        <v>1200</v>
      </c>
      <c r="F442">
        <f>IF('Raw Data'!F442&lt;&gt;"",'Raw Data'!F442,IFERROR(ROUND('Raw Data'!G442/E442,0),""))</f>
        <v>6</v>
      </c>
      <c r="G442">
        <f>IF('Raw Data'!G442&lt;&gt;"",'Raw Data'!G442,IFERROR(ROUND(E442*F442,2),""))</f>
        <v>7200</v>
      </c>
      <c r="H442" t="str">
        <f>'Raw Data'!H442</f>
        <v>Debit Card</v>
      </c>
      <c r="I442" t="str">
        <f>IF('Raw Data'!D442="",IF(D442="Unknown","Could not recover","Filled from Price lookup"),IF(TRIM('Raw Data'!D442)&lt;&gt;'Raw Data'!D442,"Trimmed whitespace","OK"))</f>
        <v>OK</v>
      </c>
      <c r="J442" t="str">
        <f t="shared" si="6"/>
        <v>OK</v>
      </c>
    </row>
    <row r="443" spans="1:10">
      <c r="A443" t="str">
        <f>'Raw Data'!A443</f>
        <v>TXN_1119</v>
      </c>
      <c r="B443" s="1">
        <f>'Raw Data'!B443</f>
        <v>45876</v>
      </c>
      <c r="C443" t="str">
        <f>IFERROR(INDEX('Reference Table'!$C$2:$C$46,MATCH(D443,'Reference Table'!$A$2:$A$46,0)),"Unknown")</f>
        <v>Patisserie</v>
      </c>
      <c r="D443" t="str">
        <f t="array" ref="D443">IF(TRIM('Raw Data'!D443)&lt;&gt;"",TRIM('Raw Data'!D443),IFERROR(INDEX('Reference Table'!$A$2:$A$46,MATCH(VALUE('Raw Data'!E443),VALUE('Reference Table'!$B$2:$B$46),0)),"Unknown"))</f>
        <v>Pat_Cookie_Pack</v>
      </c>
      <c r="E443">
        <f>IF('Raw Data'!E443&lt;&gt;"",'Raw Data'!E443,IFERROR(INDEX('Reference Table'!$B$2:$B$32,MATCH(D443,'Reference Table'!$A$2:$A$32,0)),""))</f>
        <v>55</v>
      </c>
      <c r="F443">
        <f>IF('Raw Data'!F443&lt;&gt;"",'Raw Data'!F443,IFERROR(ROUND('Raw Data'!G443/E443,0),""))</f>
        <v>4</v>
      </c>
      <c r="G443">
        <f>IF('Raw Data'!G443&lt;&gt;"",'Raw Data'!G443,IFERROR(ROUND(E443*F443,2),""))</f>
        <v>220</v>
      </c>
      <c r="H443" t="str">
        <f>'Raw Data'!H443</f>
        <v>Mobile Payment</v>
      </c>
      <c r="I443" t="str">
        <f>IF('Raw Data'!D443="",IF(D443="Unknown","Could not recover","Filled from Price lookup"),IF(TRIM('Raw Data'!D443)&lt;&gt;'Raw Data'!D443,"Trimmed whitespace","OK"))</f>
        <v>OK</v>
      </c>
      <c r="J443" t="str">
        <f t="shared" si="6"/>
        <v>OK</v>
      </c>
    </row>
    <row r="444" spans="1:10">
      <c r="A444" t="str">
        <f>'Raw Data'!A444</f>
        <v>TXN_1386</v>
      </c>
      <c r="B444" s="1">
        <f>'Raw Data'!B444</f>
        <v>45752</v>
      </c>
      <c r="C444" t="str">
        <f>IFERROR(INDEX('Reference Table'!$C$2:$C$46,MATCH(D444,'Reference Table'!$A$2:$A$46,0)),"Unknown")</f>
        <v>Furniture</v>
      </c>
      <c r="D444" t="str">
        <f t="array" ref="D444">IF(TRIM('Raw Data'!D444)&lt;&gt;"",TRIM('Raw Data'!D444),IFERROR(INDEX('Reference Table'!$A$2:$A$46,MATCH(VALUE('Raw Data'!E444),VALUE('Reference Table'!$B$2:$B$46),0)),"Unknown"))</f>
        <v>Furn_Chair</v>
      </c>
      <c r="E444">
        <f>IF('Raw Data'!E444&lt;&gt;"",'Raw Data'!E444,IFERROR(INDEX('Reference Table'!$B$2:$B$32,MATCH(D444,'Reference Table'!$A$2:$A$32,0)),""))</f>
        <v>2500</v>
      </c>
      <c r="F444">
        <f>IF('Raw Data'!F444&lt;&gt;"",'Raw Data'!F444,IFERROR(ROUND('Raw Data'!G444/E444,0),""))</f>
        <v>5</v>
      </c>
      <c r="G444">
        <f>IF('Raw Data'!G444&lt;&gt;"",'Raw Data'!G444,IFERROR(ROUND(E444*F444,2),""))</f>
        <v>12500</v>
      </c>
      <c r="H444" t="str">
        <f>'Raw Data'!H444</f>
        <v>Mobile Payment</v>
      </c>
      <c r="I444" t="str">
        <f>IF('Raw Data'!D444="",IF(D444="Unknown","Could not recover","Filled from Price lookup"),IF(TRIM('Raw Data'!D444)&lt;&gt;'Raw Data'!D444,"Trimmed whitespace","OK"))</f>
        <v>OK</v>
      </c>
      <c r="J444" t="str">
        <f t="shared" si="6"/>
        <v>OK</v>
      </c>
    </row>
    <row r="445" spans="1:10">
      <c r="A445" t="str">
        <f>'Raw Data'!A445</f>
        <v>TXN_1358</v>
      </c>
      <c r="B445" s="1">
        <f>'Raw Data'!B445</f>
        <v>45860</v>
      </c>
      <c r="C445" t="str">
        <f>IFERROR(INDEX('Reference Table'!$C$2:$C$46,MATCH(D445,'Reference Table'!$A$2:$A$46,0)),"Unknown")</f>
        <v>Milk Products</v>
      </c>
      <c r="D445" t="str">
        <f t="array" ref="D445">IF(TRIM('Raw Data'!D445)&lt;&gt;"",TRIM('Raw Data'!D445),IFERROR(INDEX('Reference Table'!$A$2:$A$46,MATCH(VALUE('Raw Data'!E445),VALUE('Reference Table'!$B$2:$B$46),0)),"Unknown"))</f>
        <v>Milk_Yogurt_400g</v>
      </c>
      <c r="E445">
        <f>IF('Raw Data'!E445&lt;&gt;"",'Raw Data'!E445,IFERROR(INDEX('Reference Table'!$B$2:$B$32,MATCH(D445,'Reference Table'!$A$2:$A$32,0)),""))</f>
        <v>60</v>
      </c>
      <c r="F445">
        <f>IF('Raw Data'!F445&lt;&gt;"",'Raw Data'!F445,IFERROR(ROUND('Raw Data'!G445/E445,0),""))</f>
        <v>1</v>
      </c>
      <c r="G445">
        <f>IF('Raw Data'!G445&lt;&gt;"",'Raw Data'!G445,IFERROR(ROUND(E445*F445,2),""))</f>
        <v>60</v>
      </c>
      <c r="H445" t="str">
        <f>'Raw Data'!H445</f>
        <v>Credit Card</v>
      </c>
      <c r="I445" t="str">
        <f>IF('Raw Data'!D445="",IF(D445="Unknown","Could not recover","Filled from Price lookup"),IF(TRIM('Raw Data'!D445)&lt;&gt;'Raw Data'!D445,"Trimmed whitespace","OK"))</f>
        <v>OK</v>
      </c>
      <c r="J445" t="str">
        <f t="shared" si="6"/>
        <v>OK</v>
      </c>
    </row>
    <row r="446" spans="1:10">
      <c r="A446" t="str">
        <f>'Raw Data'!A446</f>
        <v>TXN_1371</v>
      </c>
      <c r="B446" s="1">
        <f>'Raw Data'!B446</f>
        <v>45829</v>
      </c>
      <c r="C446" t="str">
        <f>IFERROR(INDEX('Reference Table'!$C$2:$C$46,MATCH(D446,'Reference Table'!$A$2:$A$46,0)),"Unknown")</f>
        <v>Beverages</v>
      </c>
      <c r="D446" t="str">
        <f t="array" ref="D446">IF(TRIM('Raw Data'!D446)&lt;&gt;"",TRIM('Raw Data'!D446),IFERROR(INDEX('Reference Table'!$A$2:$A$46,MATCH(VALUE('Raw Data'!E446),VALUE('Reference Table'!$B$2:$B$46),0)),"Unknown"))</f>
        <v>Bev_Coffee_200g</v>
      </c>
      <c r="E446">
        <f>IF('Raw Data'!E446&lt;&gt;"",'Raw Data'!E446,IFERROR(INDEX('Reference Table'!$B$2:$B$32,MATCH(D446,'Reference Table'!$A$2:$A$32,0)),""))</f>
        <v>180</v>
      </c>
      <c r="F446">
        <f>IF('Raw Data'!F446&lt;&gt;"",'Raw Data'!F446,IFERROR(ROUND('Raw Data'!G446/E446,0),""))</f>
        <v>1</v>
      </c>
      <c r="G446">
        <f>IF('Raw Data'!G446&lt;&gt;"",'Raw Data'!G446,IFERROR(ROUND(E446*F446,2),""))</f>
        <v>270</v>
      </c>
      <c r="H446" t="str">
        <f>'Raw Data'!H446</f>
        <v>Mobile Payment</v>
      </c>
      <c r="I446" t="str">
        <f>IF('Raw Data'!D446="",IF(D446="Unknown","Could not recover","Filled from Price lookup"),IF(TRIM('Raw Data'!D446)&lt;&gt;'Raw Data'!D446,"Trimmed whitespace","OK"))</f>
        <v>OK</v>
      </c>
      <c r="J446" t="str">
        <f t="shared" si="6"/>
        <v>Mismatch</v>
      </c>
    </row>
    <row r="447" spans="1:10">
      <c r="A447" t="str">
        <f>'Raw Data'!A447</f>
        <v>TXN_1156</v>
      </c>
      <c r="B447" s="1">
        <f>'Raw Data'!B447</f>
        <v>45843</v>
      </c>
      <c r="C447" t="str">
        <f>IFERROR(INDEX('Reference Table'!$C$2:$C$46,MATCH(D447,'Reference Table'!$A$2:$A$46,0)),"Unknown")</f>
        <v>Computers</v>
      </c>
      <c r="D447" t="str">
        <f t="array" ref="D447">IF(TRIM('Raw Data'!D447)&lt;&gt;"",TRIM('Raw Data'!D447),IFERROR(INDEX('Reference Table'!$A$2:$A$46,MATCH(VALUE('Raw Data'!E447),VALUE('Reference Table'!$B$2:$B$46),0)),"Unknown"))</f>
        <v>Comp_Mouse</v>
      </c>
      <c r="E447">
        <f>IF('Raw Data'!E447&lt;&gt;"",'Raw Data'!E447,IFERROR(INDEX('Reference Table'!$B$2:$B$32,MATCH(D447,'Reference Table'!$A$2:$A$32,0)),""))</f>
        <v>500</v>
      </c>
      <c r="F447">
        <f>IF('Raw Data'!F447&lt;&gt;"",'Raw Data'!F447,IFERROR(ROUND('Raw Data'!G447/E447,0),""))</f>
        <v>3</v>
      </c>
      <c r="G447">
        <f>IF('Raw Data'!G447&lt;&gt;"",'Raw Data'!G447,IFERROR(ROUND(E447*F447,2),""))</f>
        <v>1500</v>
      </c>
      <c r="H447" t="str">
        <f>'Raw Data'!H447</f>
        <v>Debit Card</v>
      </c>
      <c r="I447" t="str">
        <f>IF('Raw Data'!D447="",IF(D447="Unknown","Could not recover","Filled from Price lookup"),IF(TRIM('Raw Data'!D447)&lt;&gt;'Raw Data'!D447,"Trimmed whitespace","OK"))</f>
        <v>OK</v>
      </c>
      <c r="J447" t="str">
        <f t="shared" si="6"/>
        <v>OK</v>
      </c>
    </row>
    <row r="448" spans="1:10">
      <c r="A448" t="str">
        <f>'Raw Data'!A448</f>
        <v>TXN_1480</v>
      </c>
      <c r="B448" s="1">
        <f>'Raw Data'!B448</f>
        <v>45674</v>
      </c>
      <c r="C448" t="str">
        <f>IFERROR(INDEX('Reference Table'!$C$2:$C$46,MATCH(D448,'Reference Table'!$A$2:$A$46,0)),"Unknown")</f>
        <v>Butchers</v>
      </c>
      <c r="D448" t="str">
        <f t="array" ref="D448">IF(TRIM('Raw Data'!D448)&lt;&gt;"",TRIM('Raw Data'!D448),IFERROR(INDEX('Reference Table'!$A$2:$A$46,MATCH(VALUE('Raw Data'!E448),VALUE('Reference Table'!$B$2:$B$46),0)),"Unknown"))</f>
        <v>Meat_Fish_1kg</v>
      </c>
      <c r="E448">
        <f>IF('Raw Data'!E448&lt;&gt;"",'Raw Data'!E448,IFERROR(INDEX('Reference Table'!$B$2:$B$32,MATCH(D448,'Reference Table'!$A$2:$A$32,0)),""))</f>
        <v>380</v>
      </c>
      <c r="F448">
        <f>IF('Raw Data'!F448&lt;&gt;"",'Raw Data'!F448,IFERROR(ROUND('Raw Data'!G448/E448,0),""))</f>
        <v>6</v>
      </c>
      <c r="G448">
        <f>IF('Raw Data'!G448&lt;&gt;"",'Raw Data'!G448,IFERROR(ROUND(E448*F448,2),""))</f>
        <v>2280</v>
      </c>
      <c r="H448" t="str">
        <f>'Raw Data'!H448</f>
        <v>Cash</v>
      </c>
      <c r="I448" t="str">
        <f>IF('Raw Data'!D448="",IF(D448="Unknown","Could not recover","Filled from Price lookup"),IF(TRIM('Raw Data'!D448)&lt;&gt;'Raw Data'!D448,"Trimmed whitespace","OK"))</f>
        <v>OK</v>
      </c>
      <c r="J448" t="str">
        <f t="shared" si="6"/>
        <v>OK</v>
      </c>
    </row>
    <row r="449" spans="1:10">
      <c r="A449" t="str">
        <f>'Raw Data'!A449</f>
        <v>TXN_1202</v>
      </c>
      <c r="B449" s="1">
        <f>'Raw Data'!B449</f>
        <v>45774</v>
      </c>
      <c r="C449" t="str">
        <f>IFERROR(INDEX('Reference Table'!$C$2:$C$46,MATCH(D449,'Reference Table'!$A$2:$A$46,0)),"Unknown")</f>
        <v>Computers</v>
      </c>
      <c r="D449" t="str">
        <f t="array" ref="D449">IF(TRIM('Raw Data'!D449)&lt;&gt;"",TRIM('Raw Data'!D449),IFERROR(INDEX('Reference Table'!$A$2:$A$46,MATCH(VALUE('Raw Data'!E449),VALUE('Reference Table'!$B$2:$B$46),0)),"Unknown"))</f>
        <v>Comp_Webcam</v>
      </c>
      <c r="E449">
        <f>IF('Raw Data'!E449&lt;&gt;"",'Raw Data'!E449,IFERROR(INDEX('Reference Table'!$B$2:$B$32,MATCH(D449,'Reference Table'!$A$2:$A$32,0)),""))</f>
        <v>1200</v>
      </c>
      <c r="F449">
        <f>IF('Raw Data'!F449&lt;&gt;"",'Raw Data'!F449,IFERROR(ROUND('Raw Data'!G449/E449,0),""))</f>
        <v>4</v>
      </c>
      <c r="G449">
        <f>IF('Raw Data'!G449&lt;&gt;"",'Raw Data'!G449,IFERROR(ROUND(E449*F449,2),""))</f>
        <v>4800</v>
      </c>
      <c r="H449" t="str">
        <f>'Raw Data'!H449</f>
        <v>Debit Card</v>
      </c>
      <c r="I449" t="str">
        <f>IF('Raw Data'!D449="",IF(D449="Unknown","Could not recover","Filled from Price lookup"),IF(TRIM('Raw Data'!D449)&lt;&gt;'Raw Data'!D449,"Trimmed whitespace","OK"))</f>
        <v>OK</v>
      </c>
      <c r="J449" t="str">
        <f t="shared" si="6"/>
        <v>OK</v>
      </c>
    </row>
    <row r="450" spans="1:10">
      <c r="A450" t="str">
        <f>'Raw Data'!A450</f>
        <v>TXN_1026</v>
      </c>
      <c r="B450" s="1">
        <f>'Raw Data'!B450</f>
        <v>45722</v>
      </c>
      <c r="C450" t="str">
        <f>IFERROR(INDEX('Reference Table'!$C$2:$C$46,MATCH(D450,'Reference Table'!$A$2:$A$46,0)),"Unknown")</f>
        <v>Electric Accessories</v>
      </c>
      <c r="D450" t="str">
        <f t="array" ref="D450">IF(TRIM('Raw Data'!D450)&lt;&gt;"",TRIM('Raw Data'!D450),IFERROR(INDEX('Reference Table'!$A$2:$A$46,MATCH(VALUE('Raw Data'!E450),VALUE('Reference Table'!$B$2:$B$46),0)),"Unknown"))</f>
        <v>Elec_Powerbank</v>
      </c>
      <c r="E450">
        <f>IF('Raw Data'!E450&lt;&gt;"",'Raw Data'!E450,IFERROR(INDEX('Reference Table'!$B$2:$B$32,MATCH(D450,'Reference Table'!$A$2:$A$32,0)),""))</f>
        <v>900</v>
      </c>
      <c r="F450">
        <f>IF('Raw Data'!F450&lt;&gt;"",'Raw Data'!F450,IFERROR(ROUND('Raw Data'!G450/E450,0),""))</f>
        <v>5</v>
      </c>
      <c r="G450">
        <f>IF('Raw Data'!G450&lt;&gt;"",'Raw Data'!G450,IFERROR(ROUND(E450*F450,2),""))</f>
        <v>4500</v>
      </c>
      <c r="H450" t="str">
        <f>'Raw Data'!H450</f>
        <v>Cash</v>
      </c>
      <c r="I450" t="str">
        <f>IF('Raw Data'!D450="",IF(D450="Unknown","Could not recover","Filled from Price lookup"),IF(TRIM('Raw Data'!D450)&lt;&gt;'Raw Data'!D450,"Trimmed whitespace","OK"))</f>
        <v>OK</v>
      </c>
      <c r="J450" t="str">
        <f t="shared" si="6"/>
        <v>OK</v>
      </c>
    </row>
    <row r="451" spans="1:10">
      <c r="A451" t="str">
        <f>'Raw Data'!A451</f>
        <v>TXN_1595</v>
      </c>
      <c r="B451" s="1">
        <f>'Raw Data'!B451</f>
        <v>45808</v>
      </c>
      <c r="C451" t="str">
        <f>IFERROR(INDEX('Reference Table'!$C$2:$C$46,MATCH(D451,'Reference Table'!$A$2:$A$46,0)),"Unknown")</f>
        <v>Furniture</v>
      </c>
      <c r="D451" t="str">
        <f t="array" ref="D451">IF(TRIM('Raw Data'!D451)&lt;&gt;"",TRIM('Raw Data'!D451),IFERROR(INDEX('Reference Table'!$A$2:$A$46,MATCH(VALUE('Raw Data'!E451),VALUE('Reference Table'!$B$2:$B$46),0)),"Unknown"))</f>
        <v>Furn_Cushion</v>
      </c>
      <c r="E451">
        <f>IF('Raw Data'!E451&lt;&gt;"",'Raw Data'!E451,IFERROR(INDEX('Reference Table'!$B$2:$B$32,MATCH(D451,'Reference Table'!$A$2:$A$32,0)),""))</f>
        <v>350</v>
      </c>
      <c r="F451">
        <f>IF('Raw Data'!F451&lt;&gt;"",'Raw Data'!F451,IFERROR(ROUND('Raw Data'!G451/E451,0),""))</f>
        <v>4</v>
      </c>
      <c r="G451">
        <f>IF('Raw Data'!G451&lt;&gt;"",'Raw Data'!G451,IFERROR(ROUND(E451*F451,2),""))</f>
        <v>2100</v>
      </c>
      <c r="H451" t="str">
        <f>'Raw Data'!H451</f>
        <v>Cash</v>
      </c>
      <c r="I451" t="str">
        <f>IF('Raw Data'!D451="",IF(D451="Unknown","Could not recover","Filled from Price lookup"),IF(TRIM('Raw Data'!D451)&lt;&gt;'Raw Data'!D451,"Trimmed whitespace","OK"))</f>
        <v>OK</v>
      </c>
      <c r="J451" t="str">
        <f t="shared" ref="J451:J514" si="7">IF(AND(E451&lt;&gt;"",F451&lt;&gt;"",G451&lt;&gt;""),IF(ROUND(E451*F451,2)=ROUND(G451,2),"OK","Mismatch"),"Incomplete")</f>
        <v>Mismatch</v>
      </c>
    </row>
    <row r="452" spans="1:10">
      <c r="A452" t="str">
        <f>'Raw Data'!A452</f>
        <v>TXN_1463</v>
      </c>
      <c r="B452" s="1">
        <f>'Raw Data'!B452</f>
        <v>45693</v>
      </c>
      <c r="C452" t="str">
        <f>IFERROR(INDEX('Reference Table'!$C$2:$C$46,MATCH(D452,'Reference Table'!$A$2:$A$46,0)),"Unknown")</f>
        <v>Food</v>
      </c>
      <c r="D452" t="str">
        <f t="array" ref="D452">IF(TRIM('Raw Data'!D452)&lt;&gt;"",TRIM('Raw Data'!D452),IFERROR(INDEX('Reference Table'!$A$2:$A$46,MATCH(VALUE('Raw Data'!E452),VALUE('Reference Table'!$B$2:$B$46),0)),"Unknown"))</f>
        <v>Food_Wheat_1kg</v>
      </c>
      <c r="E452">
        <f>IF('Raw Data'!E452&lt;&gt;"",'Raw Data'!E452,IFERROR(INDEX('Reference Table'!$B$2:$B$32,MATCH(D452,'Reference Table'!$A$2:$A$32,0)),""))</f>
        <v>55</v>
      </c>
      <c r="F452">
        <f>IF('Raw Data'!F452&lt;&gt;"",'Raw Data'!F452,IFERROR(ROUND('Raw Data'!G452/E452,0),""))</f>
        <v>2</v>
      </c>
      <c r="G452">
        <f>IF('Raw Data'!G452&lt;&gt;"",'Raw Data'!G452,IFERROR(ROUND(E452*F452,2),""))</f>
        <v>110</v>
      </c>
      <c r="H452" t="str">
        <f>'Raw Data'!H452</f>
        <v>Mobile Payment</v>
      </c>
      <c r="I452" t="str">
        <f>IF('Raw Data'!D452="",IF(D452="Unknown","Could not recover","Filled from Price lookup"),IF(TRIM('Raw Data'!D452)&lt;&gt;'Raw Data'!D452,"Trimmed whitespace","OK"))</f>
        <v>OK</v>
      </c>
      <c r="J452" t="str">
        <f t="shared" si="7"/>
        <v>OK</v>
      </c>
    </row>
    <row r="453" spans="1:10">
      <c r="A453" t="str">
        <f>'Raw Data'!A453</f>
        <v>TXN_1340</v>
      </c>
      <c r="B453" s="1">
        <f>'Raw Data'!B453</f>
        <v>45872</v>
      </c>
      <c r="C453" t="str">
        <f>IFERROR(INDEX('Reference Table'!$C$2:$C$46,MATCH(D453,'Reference Table'!$A$2:$A$46,0)),"Unknown")</f>
        <v>Butchers</v>
      </c>
      <c r="D453" t="str">
        <f t="array" ref="D453">IF(TRIM('Raw Data'!D453)&lt;&gt;"",TRIM('Raw Data'!D453),IFERROR(INDEX('Reference Table'!$A$2:$A$46,MATCH(VALUE('Raw Data'!E453),VALUE('Reference Table'!$B$2:$B$46),0)),"Unknown"))</f>
        <v>Meat_Chicken_1kg</v>
      </c>
      <c r="E453">
        <f>IF('Raw Data'!E453&lt;&gt;"",'Raw Data'!E453,IFERROR(INDEX('Reference Table'!$B$2:$B$32,MATCH(D453,'Reference Table'!$A$2:$A$32,0)),""))</f>
        <v>220</v>
      </c>
      <c r="F453">
        <f>IF('Raw Data'!F453&lt;&gt;"",'Raw Data'!F453,IFERROR(ROUND('Raw Data'!G453/E453,0),""))</f>
        <v>1</v>
      </c>
      <c r="G453">
        <f>IF('Raw Data'!G453&lt;&gt;"",'Raw Data'!G453,IFERROR(ROUND(E453*F453,2),""))</f>
        <v>220</v>
      </c>
      <c r="H453" t="str">
        <f>'Raw Data'!H453</f>
        <v>Debit Card</v>
      </c>
      <c r="I453" t="str">
        <f>IF('Raw Data'!D453="",IF(D453="Unknown","Could not recover","Filled from Price lookup"),IF(TRIM('Raw Data'!D453)&lt;&gt;'Raw Data'!D453,"Trimmed whitespace","OK"))</f>
        <v>OK</v>
      </c>
      <c r="J453" t="str">
        <f t="shared" si="7"/>
        <v>OK</v>
      </c>
    </row>
    <row r="454" spans="1:10">
      <c r="A454" t="str">
        <f>'Raw Data'!A454</f>
        <v>TXN_1190</v>
      </c>
      <c r="B454" s="1">
        <f>'Raw Data'!B454</f>
        <v>45750</v>
      </c>
      <c r="C454" t="str">
        <f>IFERROR(INDEX('Reference Table'!$C$2:$C$46,MATCH(D454,'Reference Table'!$A$2:$A$46,0)),"Unknown")</f>
        <v>Milk Products</v>
      </c>
      <c r="D454" t="str">
        <f t="array" ref="D454">IF(TRIM('Raw Data'!D454)&lt;&gt;"",TRIM('Raw Data'!D454),IFERROR(INDEX('Reference Table'!$A$2:$A$46,MATCH(VALUE('Raw Data'!E454),VALUE('Reference Table'!$B$2:$B$46),0)),"Unknown"))</f>
        <v>Milk_Yogurt_400g</v>
      </c>
      <c r="E454">
        <f>IF('Raw Data'!E454&lt;&gt;"",'Raw Data'!E454,IFERROR(INDEX('Reference Table'!$B$2:$B$32,MATCH(D454,'Reference Table'!$A$2:$A$32,0)),""))</f>
        <v>60</v>
      </c>
      <c r="F454">
        <f>IF('Raw Data'!F454&lt;&gt;"",'Raw Data'!F454,IFERROR(ROUND('Raw Data'!G454/E454,0),""))</f>
        <v>5</v>
      </c>
      <c r="G454">
        <f>IF('Raw Data'!G454&lt;&gt;"",'Raw Data'!G454,IFERROR(ROUND(E454*F454,2),""))</f>
        <v>300</v>
      </c>
      <c r="H454" t="str">
        <f>'Raw Data'!H454</f>
        <v>Mobile Payment</v>
      </c>
      <c r="I454" t="str">
        <f>IF('Raw Data'!D454="",IF(D454="Unknown","Could not recover","Filled from Price lookup"),IF(TRIM('Raw Data'!D454)&lt;&gt;'Raw Data'!D454,"Trimmed whitespace","OK"))</f>
        <v>OK</v>
      </c>
      <c r="J454" t="str">
        <f t="shared" si="7"/>
        <v>OK</v>
      </c>
    </row>
    <row r="455" spans="1:10">
      <c r="A455" t="str">
        <f>'Raw Data'!A455</f>
        <v>TXN_1573</v>
      </c>
      <c r="B455" s="1">
        <f>'Raw Data'!B455</f>
        <v>45772</v>
      </c>
      <c r="C455" t="str">
        <f>IFERROR(INDEX('Reference Table'!$C$2:$C$46,MATCH(D455,'Reference Table'!$A$2:$A$46,0)),"Unknown")</f>
        <v>Butchers</v>
      </c>
      <c r="D455" t="str">
        <f t="array" ref="D455">IF(TRIM('Raw Data'!D455)&lt;&gt;"",TRIM('Raw Data'!D455),IFERROR(INDEX('Reference Table'!$A$2:$A$46,MATCH(VALUE('Raw Data'!E455),VALUE('Reference Table'!$B$2:$B$46),0)),"Unknown"))</f>
        <v>Meat_Bacon_250g</v>
      </c>
      <c r="E455">
        <f>IF('Raw Data'!E455&lt;&gt;"",'Raw Data'!E455,IFERROR(INDEX('Reference Table'!$B$2:$B$32,MATCH(D455,'Reference Table'!$A$2:$A$32,0)),""))</f>
        <v>190</v>
      </c>
      <c r="F455">
        <f>IF('Raw Data'!F455&lt;&gt;"",'Raw Data'!F455,IFERROR(ROUND('Raw Data'!G455/E455,0),""))</f>
        <v>1</v>
      </c>
      <c r="G455">
        <f>IF('Raw Data'!G455&lt;&gt;"",'Raw Data'!G455,IFERROR(ROUND(E455*F455,2),""))</f>
        <v>190</v>
      </c>
      <c r="H455" t="str">
        <f>'Raw Data'!H455</f>
        <v>Mobile Payment</v>
      </c>
      <c r="I455" t="str">
        <f>IF('Raw Data'!D455="",IF(D455="Unknown","Could not recover","Filled from Price lookup"),IF(TRIM('Raw Data'!D455)&lt;&gt;'Raw Data'!D455,"Trimmed whitespace","OK"))</f>
        <v>OK</v>
      </c>
      <c r="J455" t="str">
        <f t="shared" si="7"/>
        <v>OK</v>
      </c>
    </row>
    <row r="456" spans="1:10">
      <c r="A456" t="str">
        <f>'Raw Data'!A456</f>
        <v>TXN_1128</v>
      </c>
      <c r="B456" s="1">
        <f>'Raw Data'!B456</f>
        <v>45662</v>
      </c>
      <c r="C456" t="str">
        <f>IFERROR(INDEX('Reference Table'!$C$2:$C$46,MATCH(D456,'Reference Table'!$A$2:$A$46,0)),"Unknown")</f>
        <v>Food</v>
      </c>
      <c r="D456" t="str">
        <f t="array" ref="D456">IF(TRIM('Raw Data'!D456)&lt;&gt;"",TRIM('Raw Data'!D456),IFERROR(INDEX('Reference Table'!$A$2:$A$46,MATCH(VALUE('Raw Data'!E456),VALUE('Reference Table'!$B$2:$B$46),0)),"Unknown"))</f>
        <v>Food_Rice_1kg</v>
      </c>
      <c r="E456">
        <f>IF('Raw Data'!E456&lt;&gt;"",'Raw Data'!E456,IFERROR(INDEX('Reference Table'!$B$2:$B$32,MATCH(D456,'Reference Table'!$A$2:$A$32,0)),""))</f>
        <v>70</v>
      </c>
      <c r="F456">
        <f>IF('Raw Data'!F456&lt;&gt;"",'Raw Data'!F456,IFERROR(ROUND('Raw Data'!G456/E456,0),""))</f>
        <v>4</v>
      </c>
      <c r="G456">
        <f>IF('Raw Data'!G456&lt;&gt;"",'Raw Data'!G456,IFERROR(ROUND(E456*F456,2),""))</f>
        <v>280</v>
      </c>
      <c r="H456" t="str">
        <f>'Raw Data'!H456</f>
        <v>Cash</v>
      </c>
      <c r="I456" t="str">
        <f>IF('Raw Data'!D456="",IF(D456="Unknown","Could not recover","Filled from Price lookup"),IF(TRIM('Raw Data'!D456)&lt;&gt;'Raw Data'!D456,"Trimmed whitespace","OK"))</f>
        <v>OK</v>
      </c>
      <c r="J456" t="str">
        <f t="shared" si="7"/>
        <v>OK</v>
      </c>
    </row>
    <row r="457" spans="1:10">
      <c r="A457" t="str">
        <f>'Raw Data'!A457</f>
        <v>TXN_1184</v>
      </c>
      <c r="B457" s="1">
        <f>'Raw Data'!B457</f>
        <v>45778</v>
      </c>
      <c r="C457" t="str">
        <f>IFERROR(INDEX('Reference Table'!$C$2:$C$46,MATCH(D457,'Reference Table'!$A$2:$A$46,0)),"Unknown")</f>
        <v>Computers</v>
      </c>
      <c r="D457" t="str">
        <f t="array" ref="D457">IF(TRIM('Raw Data'!D457)&lt;&gt;"",TRIM('Raw Data'!D457),IFERROR(INDEX('Reference Table'!$A$2:$A$46,MATCH(VALUE('Raw Data'!E457),VALUE('Reference Table'!$B$2:$B$46),0)),"Unknown"))</f>
        <v>Comp_Keyboard</v>
      </c>
      <c r="E457">
        <f>IF('Raw Data'!E457&lt;&gt;"",'Raw Data'!E457,IFERROR(INDEX('Reference Table'!$B$2:$B$32,MATCH(D457,'Reference Table'!$A$2:$A$32,0)),""))</f>
        <v>800</v>
      </c>
      <c r="F457">
        <f>IF('Raw Data'!F457&lt;&gt;"",'Raw Data'!F457,IFERROR(ROUND('Raw Data'!G457/E457,0),""))</f>
        <v>1</v>
      </c>
      <c r="G457">
        <f>IF('Raw Data'!G457&lt;&gt;"",'Raw Data'!G457,IFERROR(ROUND(E457*F457,2),""))</f>
        <v>800</v>
      </c>
      <c r="H457" t="str">
        <f>'Raw Data'!H457</f>
        <v>Debit Card</v>
      </c>
      <c r="I457" t="str">
        <f>IF('Raw Data'!D457="",IF(D457="Unknown","Could not recover","Filled from Price lookup"),IF(TRIM('Raw Data'!D457)&lt;&gt;'Raw Data'!D457,"Trimmed whitespace","OK"))</f>
        <v>OK</v>
      </c>
      <c r="J457" t="str">
        <f t="shared" si="7"/>
        <v>OK</v>
      </c>
    </row>
    <row r="458" spans="1:10">
      <c r="A458" t="str">
        <f>'Raw Data'!A458</f>
        <v>TXN_1515</v>
      </c>
      <c r="B458" s="1">
        <f>'Raw Data'!B458</f>
        <v>45802</v>
      </c>
      <c r="C458" t="str">
        <f>IFERROR(INDEX('Reference Table'!$C$2:$C$46,MATCH(D458,'Reference Table'!$A$2:$A$46,0)),"Unknown")</f>
        <v>Electric Accessories</v>
      </c>
      <c r="D458" t="str">
        <f t="array" ref="D458">IF(TRIM('Raw Data'!D458)&lt;&gt;"",TRIM('Raw Data'!D458),IFERROR(INDEX('Reference Table'!$A$2:$A$46,MATCH(VALUE('Raw Data'!E458),VALUE('Reference Table'!$B$2:$B$46),0)),"Unknown"))</f>
        <v>Elec_Charger</v>
      </c>
      <c r="E458">
        <f>IF('Raw Data'!E458&lt;&gt;"",'Raw Data'!E458,IFERROR(INDEX('Reference Table'!$B$2:$B$32,MATCH(D458,'Reference Table'!$A$2:$A$32,0)),""))</f>
        <v>400</v>
      </c>
      <c r="F458">
        <f>IF('Raw Data'!F458&lt;&gt;"",'Raw Data'!F458,IFERROR(ROUND('Raw Data'!G458/E458,0),""))</f>
        <v>1</v>
      </c>
      <c r="G458">
        <f>IF('Raw Data'!G458&lt;&gt;"",'Raw Data'!G458,IFERROR(ROUND(E458*F458,2),""))</f>
        <v>400</v>
      </c>
      <c r="H458" t="str">
        <f>'Raw Data'!H458</f>
        <v>Credit Card</v>
      </c>
      <c r="I458" t="str">
        <f>IF('Raw Data'!D458="",IF(D458="Unknown","Could not recover","Filled from Price lookup"),IF(TRIM('Raw Data'!D458)&lt;&gt;'Raw Data'!D458,"Trimmed whitespace","OK"))</f>
        <v>OK</v>
      </c>
      <c r="J458" t="str">
        <f t="shared" si="7"/>
        <v>OK</v>
      </c>
    </row>
    <row r="459" spans="1:10">
      <c r="A459" t="str">
        <f>'Raw Data'!A459</f>
        <v>TXN_1047</v>
      </c>
      <c r="B459" s="1">
        <f>'Raw Data'!B459</f>
        <v>45763</v>
      </c>
      <c r="C459" t="str">
        <f>IFERROR(INDEX('Reference Table'!$C$2:$C$46,MATCH(D459,'Reference Table'!$A$2:$A$46,0)),"Unknown")</f>
        <v>Butchers</v>
      </c>
      <c r="D459" t="str">
        <f t="array" ref="D459">IF(TRIM('Raw Data'!D459)&lt;&gt;"",TRIM('Raw Data'!D459),IFERROR(INDEX('Reference Table'!$A$2:$A$46,MATCH(VALUE('Raw Data'!E459),VALUE('Reference Table'!$B$2:$B$46),0)),"Unknown"))</f>
        <v>Meat_Fish_1kg</v>
      </c>
      <c r="E459">
        <f>IF('Raw Data'!E459&lt;&gt;"",'Raw Data'!E459,IFERROR(INDEX('Reference Table'!$B$2:$B$32,MATCH(D459,'Reference Table'!$A$2:$A$32,0)),""))</f>
        <v>380</v>
      </c>
      <c r="F459">
        <f>IF('Raw Data'!F459&lt;&gt;"",'Raw Data'!F459,IFERROR(ROUND('Raw Data'!G459/E459,0),""))</f>
        <v>4</v>
      </c>
      <c r="G459">
        <f>IF('Raw Data'!G459&lt;&gt;"",'Raw Data'!G459,IFERROR(ROUND(E459*F459,2),""))</f>
        <v>1520</v>
      </c>
      <c r="H459" t="str">
        <f>'Raw Data'!H459</f>
        <v>Mobile Payment</v>
      </c>
      <c r="I459" t="str">
        <f>IF('Raw Data'!D459="",IF(D459="Unknown","Could not recover","Filled from Price lookup"),IF(TRIM('Raw Data'!D459)&lt;&gt;'Raw Data'!D459,"Trimmed whitespace","OK"))</f>
        <v>OK</v>
      </c>
      <c r="J459" t="str">
        <f t="shared" si="7"/>
        <v>OK</v>
      </c>
    </row>
    <row r="460" spans="1:10">
      <c r="A460" t="str">
        <f>'Raw Data'!A460</f>
        <v>TXN_1140</v>
      </c>
      <c r="B460" s="1">
        <f>'Raw Data'!B460</f>
        <v>45685</v>
      </c>
      <c r="C460" t="str">
        <f>IFERROR(INDEX('Reference Table'!$C$2:$C$46,MATCH(D460,'Reference Table'!$A$2:$A$46,0)),"Unknown")</f>
        <v>Electric Accessories</v>
      </c>
      <c r="D460" t="str">
        <f t="array" ref="D460">IF(TRIM('Raw Data'!D460)&lt;&gt;"",TRIM('Raw Data'!D460),IFERROR(INDEX('Reference Table'!$A$2:$A$46,MATCH(VALUE('Raw Data'!E460),VALUE('Reference Table'!$B$2:$B$46),0)),"Unknown"))</f>
        <v>Elec_Charger</v>
      </c>
      <c r="E460">
        <f>IF('Raw Data'!E460&lt;&gt;"",'Raw Data'!E460,IFERROR(INDEX('Reference Table'!$B$2:$B$32,MATCH(D460,'Reference Table'!$A$2:$A$32,0)),""))</f>
        <v>400</v>
      </c>
      <c r="F460">
        <f>IF('Raw Data'!F460&lt;&gt;"",'Raw Data'!F460,IFERROR(ROUND('Raw Data'!G460/E460,0),""))</f>
        <v>4</v>
      </c>
      <c r="G460">
        <f>IF('Raw Data'!G460&lt;&gt;"",'Raw Data'!G460,IFERROR(ROUND(E460*F460,2),""))</f>
        <v>1600</v>
      </c>
      <c r="H460" t="str">
        <f>'Raw Data'!H460</f>
        <v>Mobile Payment</v>
      </c>
      <c r="I460" t="str">
        <f>IF('Raw Data'!D460="",IF(D460="Unknown","Could not recover","Filled from Price lookup"),IF(TRIM('Raw Data'!D460)&lt;&gt;'Raw Data'!D460,"Trimmed whitespace","OK"))</f>
        <v>OK</v>
      </c>
      <c r="J460" t="str">
        <f t="shared" si="7"/>
        <v>OK</v>
      </c>
    </row>
    <row r="461" spans="1:10">
      <c r="A461" t="str">
        <f>'Raw Data'!A461</f>
        <v>TXN_1448</v>
      </c>
      <c r="B461" s="1">
        <f>'Raw Data'!B461</f>
        <v>45821</v>
      </c>
      <c r="C461" t="str">
        <f>IFERROR(INDEX('Reference Table'!$C$2:$C$46,MATCH(D461,'Reference Table'!$A$2:$A$46,0)),"Unknown")</f>
        <v>Computers</v>
      </c>
      <c r="D461" t="str">
        <f t="array" ref="D461">IF(TRIM('Raw Data'!D461)&lt;&gt;"",TRIM('Raw Data'!D461),IFERROR(INDEX('Reference Table'!$A$2:$A$46,MATCH(VALUE('Raw Data'!E461),VALUE('Reference Table'!$B$2:$B$46),0)),"Unknown"))</f>
        <v>Comp_HDMI_Cable</v>
      </c>
      <c r="E461">
        <f>IF('Raw Data'!E461&lt;&gt;"",'Raw Data'!E461,IFERROR(INDEX('Reference Table'!$B$2:$B$32,MATCH(D461,'Reference Table'!$A$2:$A$32,0)),""))</f>
        <v>300</v>
      </c>
      <c r="F461">
        <f>IF('Raw Data'!F461&lt;&gt;"",'Raw Data'!F461,IFERROR(ROUND('Raw Data'!G461/E461,0),""))</f>
        <v>2</v>
      </c>
      <c r="G461">
        <f>IF('Raw Data'!G461&lt;&gt;"",'Raw Data'!G461,IFERROR(ROUND(E461*F461,2),""))</f>
        <v>600</v>
      </c>
      <c r="H461" t="str">
        <f>'Raw Data'!H461</f>
        <v>Credit Card</v>
      </c>
      <c r="I461" t="str">
        <f>IF('Raw Data'!D461="",IF(D461="Unknown","Could not recover","Filled from Price lookup"),IF(TRIM('Raw Data'!D461)&lt;&gt;'Raw Data'!D461,"Trimmed whitespace","OK"))</f>
        <v>Filled from Price lookup</v>
      </c>
      <c r="J461" t="str">
        <f t="shared" si="7"/>
        <v>OK</v>
      </c>
    </row>
    <row r="462" spans="1:10">
      <c r="A462" t="str">
        <f>'Raw Data'!A462</f>
        <v>TXN_1447</v>
      </c>
      <c r="B462" s="1">
        <f>'Raw Data'!B462</f>
        <v>45808</v>
      </c>
      <c r="C462" t="str">
        <f>IFERROR(INDEX('Reference Table'!$C$2:$C$46,MATCH(D462,'Reference Table'!$A$2:$A$46,0)),"Unknown")</f>
        <v>Furniture</v>
      </c>
      <c r="D462" t="str">
        <f t="array" ref="D462">IF(TRIM('Raw Data'!D462)&lt;&gt;"",TRIM('Raw Data'!D462),IFERROR(INDEX('Reference Table'!$A$2:$A$46,MATCH(VALUE('Raw Data'!E462),VALUE('Reference Table'!$B$2:$B$46),0)),"Unknown"))</f>
        <v>Furn_Cushion</v>
      </c>
      <c r="E462">
        <f>IF('Raw Data'!E462&lt;&gt;"",'Raw Data'!E462,IFERROR(INDEX('Reference Table'!$B$2:$B$32,MATCH(D462,'Reference Table'!$A$2:$A$32,0)),""))</f>
        <v>350</v>
      </c>
      <c r="F462">
        <f>IF('Raw Data'!F462&lt;&gt;"",'Raw Data'!F462,IFERROR(ROUND('Raw Data'!G462/E462,0),""))</f>
        <v>6</v>
      </c>
      <c r="G462">
        <f>IF('Raw Data'!G462&lt;&gt;"",'Raw Data'!G462,IFERROR(ROUND(E462*F462,2),""))</f>
        <v>2100</v>
      </c>
      <c r="H462" t="str">
        <f>'Raw Data'!H462</f>
        <v>Credit Card</v>
      </c>
      <c r="I462" t="str">
        <f>IF('Raw Data'!D462="",IF(D462="Unknown","Could not recover","Filled from Price lookup"),IF(TRIM('Raw Data'!D462)&lt;&gt;'Raw Data'!D462,"Trimmed whitespace","OK"))</f>
        <v>OK</v>
      </c>
      <c r="J462" t="str">
        <f t="shared" si="7"/>
        <v>OK</v>
      </c>
    </row>
    <row r="463" spans="1:10">
      <c r="A463" t="str">
        <f>'Raw Data'!A463</f>
        <v>TXN_1081</v>
      </c>
      <c r="B463" s="1">
        <f>'Raw Data'!B463</f>
        <v>45664</v>
      </c>
      <c r="C463" t="str">
        <f>IFERROR(INDEX('Reference Table'!$C$2:$C$46,MATCH(D463,'Reference Table'!$A$2:$A$46,0)),"Unknown")</f>
        <v>Milk Products</v>
      </c>
      <c r="D463" t="str">
        <f t="array" ref="D463">IF(TRIM('Raw Data'!D463)&lt;&gt;"",TRIM('Raw Data'!D463),IFERROR(INDEX('Reference Table'!$A$2:$A$46,MATCH(VALUE('Raw Data'!E463),VALUE('Reference Table'!$B$2:$B$46),0)),"Unknown"))</f>
        <v>Milk_Butter_500g</v>
      </c>
      <c r="E463">
        <f>IF('Raw Data'!E463&lt;&gt;"",'Raw Data'!E463,IFERROR(INDEX('Reference Table'!$B$2:$B$32,MATCH(D463,'Reference Table'!$A$2:$A$32,0)),""))</f>
        <v>250</v>
      </c>
      <c r="F463">
        <f>IF('Raw Data'!F463&lt;&gt;"",'Raw Data'!F463,IFERROR(ROUND('Raw Data'!G463/E463,0),""))</f>
        <v>4</v>
      </c>
      <c r="G463">
        <f>IF('Raw Data'!G463&lt;&gt;"",'Raw Data'!G463,IFERROR(ROUND(E463*F463,2),""))</f>
        <v>1000</v>
      </c>
      <c r="H463" t="str">
        <f>'Raw Data'!H463</f>
        <v>Credit Card</v>
      </c>
      <c r="I463" t="str">
        <f>IF('Raw Data'!D463="",IF(D463="Unknown","Could not recover","Filled from Price lookup"),IF(TRIM('Raw Data'!D463)&lt;&gt;'Raw Data'!D463,"Trimmed whitespace","OK"))</f>
        <v>OK</v>
      </c>
      <c r="J463" t="str">
        <f t="shared" si="7"/>
        <v>OK</v>
      </c>
    </row>
    <row r="464" spans="1:10">
      <c r="A464" t="str">
        <f>'Raw Data'!A464</f>
        <v>TXN_1154</v>
      </c>
      <c r="B464" s="1">
        <f>'Raw Data'!B464</f>
        <v>45688</v>
      </c>
      <c r="C464" t="str">
        <f>IFERROR(INDEX('Reference Table'!$C$2:$C$46,MATCH(D464,'Reference Table'!$A$2:$A$46,0)),"Unknown")</f>
        <v>Patisserie</v>
      </c>
      <c r="D464" t="str">
        <f t="array" ref="D464">IF(TRIM('Raw Data'!D464)&lt;&gt;"",TRIM('Raw Data'!D464),IFERROR(INDEX('Reference Table'!$A$2:$A$46,MATCH(VALUE('Raw Data'!E464),VALUE('Reference Table'!$B$2:$B$46),0)),"Unknown"))</f>
        <v>Pat_Muffin</v>
      </c>
      <c r="E464">
        <f>IF('Raw Data'!E464&lt;&gt;"",'Raw Data'!E464,IFERROR(INDEX('Reference Table'!$B$2:$B$32,MATCH(D464,'Reference Table'!$A$2:$A$32,0)),""))</f>
        <v>35</v>
      </c>
      <c r="F464">
        <f>IF('Raw Data'!F464&lt;&gt;"",'Raw Data'!F464,IFERROR(ROUND('Raw Data'!G464/E464,0),""))</f>
        <v>2</v>
      </c>
      <c r="G464">
        <f>IF('Raw Data'!G464&lt;&gt;"",'Raw Data'!G464,IFERROR(ROUND(E464*F464,2),""))</f>
        <v>70</v>
      </c>
      <c r="H464" t="str">
        <f>'Raw Data'!H464</f>
        <v>Credit Card</v>
      </c>
      <c r="I464" t="str">
        <f>IF('Raw Data'!D464="",IF(D464="Unknown","Could not recover","Filled from Price lookup"),IF(TRIM('Raw Data'!D464)&lt;&gt;'Raw Data'!D464,"Trimmed whitespace","OK"))</f>
        <v>OK</v>
      </c>
      <c r="J464" t="str">
        <f t="shared" si="7"/>
        <v>OK</v>
      </c>
    </row>
    <row r="465" spans="1:10">
      <c r="A465" t="str">
        <f>'Raw Data'!A465</f>
        <v>TXN_1332</v>
      </c>
      <c r="B465" s="1">
        <f>'Raw Data'!B465</f>
        <v>45786</v>
      </c>
      <c r="C465" t="str">
        <f>IFERROR(INDEX('Reference Table'!$C$2:$C$46,MATCH(D465,'Reference Table'!$A$2:$A$46,0)),"Unknown")</f>
        <v>Patisserie</v>
      </c>
      <c r="D465" t="str">
        <f t="array" ref="D465">IF(TRIM('Raw Data'!D465)&lt;&gt;"",TRIM('Raw Data'!D465),IFERROR(INDEX('Reference Table'!$A$2:$A$46,MATCH(VALUE('Raw Data'!E465),VALUE('Reference Table'!$B$2:$B$46),0)),"Unknown"))</f>
        <v>Pat_Cake_Slice</v>
      </c>
      <c r="E465">
        <f>IF('Raw Data'!E465&lt;&gt;"",'Raw Data'!E465,IFERROR(INDEX('Reference Table'!$B$2:$B$32,MATCH(D465,'Reference Table'!$A$2:$A$32,0)),""))</f>
        <v>90</v>
      </c>
      <c r="F465">
        <f>IF('Raw Data'!F465&lt;&gt;"",'Raw Data'!F465,IFERROR(ROUND('Raw Data'!G465/E465,0),""))</f>
        <v>4</v>
      </c>
      <c r="G465">
        <f>IF('Raw Data'!G465&lt;&gt;"",'Raw Data'!G465,IFERROR(ROUND(E465*F465,2),""))</f>
        <v>360</v>
      </c>
      <c r="H465" t="str">
        <f>'Raw Data'!H465</f>
        <v>Mobile Payment</v>
      </c>
      <c r="I465" t="str">
        <f>IF('Raw Data'!D465="",IF(D465="Unknown","Could not recover","Filled from Price lookup"),IF(TRIM('Raw Data'!D465)&lt;&gt;'Raw Data'!D465,"Trimmed whitespace","OK"))</f>
        <v>OK</v>
      </c>
      <c r="J465" t="str">
        <f t="shared" si="7"/>
        <v>OK</v>
      </c>
    </row>
    <row r="466" spans="1:10">
      <c r="A466" t="str">
        <f>'Raw Data'!A466</f>
        <v>TXN_1572</v>
      </c>
      <c r="B466" s="1">
        <f>'Raw Data'!B466</f>
        <v>45722</v>
      </c>
      <c r="C466" t="str">
        <f>IFERROR(INDEX('Reference Table'!$C$2:$C$46,MATCH(D466,'Reference Table'!$A$2:$A$46,0)),"Unknown")</f>
        <v>Patisserie</v>
      </c>
      <c r="D466" t="str">
        <f t="array" ref="D466">IF(TRIM('Raw Data'!D466)&lt;&gt;"",TRIM('Raw Data'!D466),IFERROR(INDEX('Reference Table'!$A$2:$A$46,MATCH(VALUE('Raw Data'!E466),VALUE('Reference Table'!$B$2:$B$46),0)),"Unknown"))</f>
        <v>Pat_Cookie_Pack</v>
      </c>
      <c r="E466">
        <f>IF('Raw Data'!E466&lt;&gt;"",'Raw Data'!E466,IFERROR(INDEX('Reference Table'!$B$2:$B$32,MATCH(D466,'Reference Table'!$A$2:$A$32,0)),""))</f>
        <v>55</v>
      </c>
      <c r="F466">
        <f>IF('Raw Data'!F466&lt;&gt;"",'Raw Data'!F466,IFERROR(ROUND('Raw Data'!G466/E466,0),""))</f>
        <v>2</v>
      </c>
      <c r="G466">
        <f>IF('Raw Data'!G466&lt;&gt;"",'Raw Data'!G466,IFERROR(ROUND(E466*F466,2),""))</f>
        <v>110</v>
      </c>
      <c r="H466" t="str">
        <f>'Raw Data'!H466</f>
        <v>Credit Card</v>
      </c>
      <c r="I466" t="str">
        <f>IF('Raw Data'!D466="",IF(D466="Unknown","Could not recover","Filled from Price lookup"),IF(TRIM('Raw Data'!D466)&lt;&gt;'Raw Data'!D466,"Trimmed whitespace","OK"))</f>
        <v>OK</v>
      </c>
      <c r="J466" t="str">
        <f t="shared" si="7"/>
        <v>OK</v>
      </c>
    </row>
    <row r="467" spans="1:10">
      <c r="A467" t="str">
        <f>'Raw Data'!A467</f>
        <v>TXN_1067</v>
      </c>
      <c r="B467" s="1">
        <f>'Raw Data'!B467</f>
        <v>45735</v>
      </c>
      <c r="C467" t="str">
        <f>IFERROR(INDEX('Reference Table'!$C$2:$C$46,MATCH(D467,'Reference Table'!$A$2:$A$46,0)),"Unknown")</f>
        <v>Computers</v>
      </c>
      <c r="D467" t="str">
        <f t="array" ref="D467">IF(TRIM('Raw Data'!D467)&lt;&gt;"",TRIM('Raw Data'!D467),IFERROR(INDEX('Reference Table'!$A$2:$A$46,MATCH(VALUE('Raw Data'!E467),VALUE('Reference Table'!$B$2:$B$46),0)),"Unknown"))</f>
        <v>Comp_Webcam</v>
      </c>
      <c r="E467">
        <f>IF('Raw Data'!E467&lt;&gt;"",'Raw Data'!E467,IFERROR(INDEX('Reference Table'!$B$2:$B$32,MATCH(D467,'Reference Table'!$A$2:$A$32,0)),""))</f>
        <v>1200</v>
      </c>
      <c r="F467">
        <f>IF('Raw Data'!F467&lt;&gt;"",'Raw Data'!F467,IFERROR(ROUND('Raw Data'!G467/E467,0),""))</f>
        <v>6</v>
      </c>
      <c r="G467">
        <f>IF('Raw Data'!G467&lt;&gt;"",'Raw Data'!G467,IFERROR(ROUND(E467*F467,2),""))</f>
        <v>7200</v>
      </c>
      <c r="H467" t="str">
        <f>'Raw Data'!H467</f>
        <v>Cash</v>
      </c>
      <c r="I467" t="str">
        <f>IF('Raw Data'!D467="",IF(D467="Unknown","Could not recover","Filled from Price lookup"),IF(TRIM('Raw Data'!D467)&lt;&gt;'Raw Data'!D467,"Trimmed whitespace","OK"))</f>
        <v>OK</v>
      </c>
      <c r="J467" t="str">
        <f t="shared" si="7"/>
        <v>OK</v>
      </c>
    </row>
    <row r="468" spans="1:10">
      <c r="A468" t="str">
        <f>'Raw Data'!A468</f>
        <v>TXN_1047</v>
      </c>
      <c r="B468" s="1">
        <f>'Raw Data'!B468</f>
        <v>45763</v>
      </c>
      <c r="C468" t="str">
        <f>IFERROR(INDEX('Reference Table'!$C$2:$C$46,MATCH(D468,'Reference Table'!$A$2:$A$46,0)),"Unknown")</f>
        <v>Butchers</v>
      </c>
      <c r="D468" t="str">
        <f t="array" ref="D468">IF(TRIM('Raw Data'!D468)&lt;&gt;"",TRIM('Raw Data'!D468),IFERROR(INDEX('Reference Table'!$A$2:$A$46,MATCH(VALUE('Raw Data'!E468),VALUE('Reference Table'!$B$2:$B$46),0)),"Unknown"))</f>
        <v>Meat_Fish_1kg</v>
      </c>
      <c r="E468">
        <f>IF('Raw Data'!E468&lt;&gt;"",'Raw Data'!E468,IFERROR(INDEX('Reference Table'!$B$2:$B$32,MATCH(D468,'Reference Table'!$A$2:$A$32,0)),""))</f>
        <v>380</v>
      </c>
      <c r="F468">
        <f>IF('Raw Data'!F468&lt;&gt;"",'Raw Data'!F468,IFERROR(ROUND('Raw Data'!G468/E468,0),""))</f>
        <v>4</v>
      </c>
      <c r="G468">
        <f>IF('Raw Data'!G468&lt;&gt;"",'Raw Data'!G468,IFERROR(ROUND(E468*F468,2),""))</f>
        <v>1520</v>
      </c>
      <c r="H468" t="str">
        <f>'Raw Data'!H468</f>
        <v>Mobile Payment</v>
      </c>
      <c r="I468" t="str">
        <f>IF('Raw Data'!D468="",IF(D468="Unknown","Could not recover","Filled from Price lookup"),IF(TRIM('Raw Data'!D468)&lt;&gt;'Raw Data'!D468,"Trimmed whitespace","OK"))</f>
        <v>OK</v>
      </c>
      <c r="J468" t="str">
        <f t="shared" si="7"/>
        <v>OK</v>
      </c>
    </row>
    <row r="469" spans="1:10">
      <c r="A469" t="str">
        <f>'Raw Data'!A469</f>
        <v>TXN_1352</v>
      </c>
      <c r="B469" s="1">
        <f>'Raw Data'!B469</f>
        <v>45820</v>
      </c>
      <c r="C469" t="str">
        <f>IFERROR(INDEX('Reference Table'!$C$2:$C$46,MATCH(D469,'Reference Table'!$A$2:$A$46,0)),"Unknown")</f>
        <v>Computers</v>
      </c>
      <c r="D469" t="str">
        <f t="array" ref="D469">IF(TRIM('Raw Data'!D469)&lt;&gt;"",TRIM('Raw Data'!D469),IFERROR(INDEX('Reference Table'!$A$2:$A$46,MATCH(VALUE('Raw Data'!E469),VALUE('Reference Table'!$B$2:$B$46),0)),"Unknown"))</f>
        <v>Comp_Mouse</v>
      </c>
      <c r="E469">
        <f>IF('Raw Data'!E469&lt;&gt;"",'Raw Data'!E469,IFERROR(INDEX('Reference Table'!$B$2:$B$32,MATCH(D469,'Reference Table'!$A$2:$A$32,0)),""))</f>
        <v>500</v>
      </c>
      <c r="F469">
        <f>IF('Raw Data'!F469&lt;&gt;"",'Raw Data'!F469,IFERROR(ROUND('Raw Data'!G469/E469,0),""))</f>
        <v>1</v>
      </c>
      <c r="G469">
        <f>IF('Raw Data'!G469&lt;&gt;"",'Raw Data'!G469,IFERROR(ROUND(E469*F469,2),""))</f>
        <v>500</v>
      </c>
      <c r="H469" t="str">
        <f>'Raw Data'!H469</f>
        <v>Mobile Payment</v>
      </c>
      <c r="I469" t="str">
        <f>IF('Raw Data'!D469="",IF(D469="Unknown","Could not recover","Filled from Price lookup"),IF(TRIM('Raw Data'!D469)&lt;&gt;'Raw Data'!D469,"Trimmed whitespace","OK"))</f>
        <v>OK</v>
      </c>
      <c r="J469" t="str">
        <f t="shared" si="7"/>
        <v>OK</v>
      </c>
    </row>
    <row r="470" spans="1:10">
      <c r="A470" t="str">
        <f>'Raw Data'!A470</f>
        <v>TXN_1103</v>
      </c>
      <c r="B470" s="1">
        <f>'Raw Data'!B470</f>
        <v>45875</v>
      </c>
      <c r="C470" t="str">
        <f>IFERROR(INDEX('Reference Table'!$C$2:$C$46,MATCH(D470,'Reference Table'!$A$2:$A$46,0)),"Unknown")</f>
        <v>Computers</v>
      </c>
      <c r="D470" t="str">
        <f t="array" ref="D470">IF(TRIM('Raw Data'!D470)&lt;&gt;"",TRIM('Raw Data'!D470),IFERROR(INDEX('Reference Table'!$A$2:$A$46,MATCH(VALUE('Raw Data'!E470),VALUE('Reference Table'!$B$2:$B$46),0)),"Unknown"))</f>
        <v>Comp_Mouse</v>
      </c>
      <c r="E470">
        <f>IF('Raw Data'!E470&lt;&gt;"",'Raw Data'!E470,IFERROR(INDEX('Reference Table'!$B$2:$B$32,MATCH(D470,'Reference Table'!$A$2:$A$32,0)),""))</f>
        <v>500</v>
      </c>
      <c r="F470">
        <f>IF('Raw Data'!F470&lt;&gt;"",'Raw Data'!F470,IFERROR(ROUND('Raw Data'!G470/E470,0),""))</f>
        <v>5</v>
      </c>
      <c r="G470">
        <f>IF('Raw Data'!G470&lt;&gt;"",'Raw Data'!G470,IFERROR(ROUND(E470*F470,2),""))</f>
        <v>2500</v>
      </c>
      <c r="H470" t="str">
        <f>'Raw Data'!H470</f>
        <v>Cash</v>
      </c>
      <c r="I470" t="str">
        <f>IF('Raw Data'!D470="",IF(D470="Unknown","Could not recover","Filled from Price lookup"),IF(TRIM('Raw Data'!D470)&lt;&gt;'Raw Data'!D470,"Trimmed whitespace","OK"))</f>
        <v>OK</v>
      </c>
      <c r="J470" t="str">
        <f t="shared" si="7"/>
        <v>OK</v>
      </c>
    </row>
    <row r="471" spans="1:10">
      <c r="A471" t="str">
        <f>'Raw Data'!A471</f>
        <v>TXN_1147</v>
      </c>
      <c r="B471" s="1">
        <f>'Raw Data'!B471</f>
        <v>45729</v>
      </c>
      <c r="C471" t="str">
        <f>IFERROR(INDEX('Reference Table'!$C$2:$C$46,MATCH(D471,'Reference Table'!$A$2:$A$46,0)),"Unknown")</f>
        <v>Patisserie</v>
      </c>
      <c r="D471" t="str">
        <f t="array" ref="D471">IF(TRIM('Raw Data'!D471)&lt;&gt;"",TRIM('Raw Data'!D471),IFERROR(INDEX('Reference Table'!$A$2:$A$46,MATCH(VALUE('Raw Data'!E471),VALUE('Reference Table'!$B$2:$B$46),0)),"Unknown"))</f>
        <v>Pat_Muffin</v>
      </c>
      <c r="E471">
        <f>IF('Raw Data'!E471&lt;&gt;"",'Raw Data'!E471,IFERROR(INDEX('Reference Table'!$B$2:$B$32,MATCH(D471,'Reference Table'!$A$2:$A$32,0)),""))</f>
        <v>35</v>
      </c>
      <c r="F471">
        <f>IF('Raw Data'!F471&lt;&gt;"",'Raw Data'!F471,IFERROR(ROUND('Raw Data'!G471/E471,0),""))</f>
        <v>3</v>
      </c>
      <c r="G471">
        <f>IF('Raw Data'!G471&lt;&gt;"",'Raw Data'!G471,IFERROR(ROUND(E471*F471,2),""))</f>
        <v>105</v>
      </c>
      <c r="H471" t="str">
        <f>'Raw Data'!H471</f>
        <v>Debit Card</v>
      </c>
      <c r="I471" t="str">
        <f>IF('Raw Data'!D471="",IF(D471="Unknown","Could not recover","Filled from Price lookup"),IF(TRIM('Raw Data'!D471)&lt;&gt;'Raw Data'!D471,"Trimmed whitespace","OK"))</f>
        <v>OK</v>
      </c>
      <c r="J471" t="str">
        <f t="shared" si="7"/>
        <v>OK</v>
      </c>
    </row>
    <row r="472" spans="1:10">
      <c r="A472" t="str">
        <f>'Raw Data'!A472</f>
        <v>TXN_1000</v>
      </c>
      <c r="B472" s="1">
        <f>'Raw Data'!B472</f>
        <v>45847</v>
      </c>
      <c r="C472" t="str">
        <f>IFERROR(INDEX('Reference Table'!$C$2:$C$46,MATCH(D472,'Reference Table'!$A$2:$A$46,0)),"Unknown")</f>
        <v>Food</v>
      </c>
      <c r="D472" t="str">
        <f t="array" ref="D472">IF(TRIM('Raw Data'!D472)&lt;&gt;"",TRIM('Raw Data'!D472),IFERROR(INDEX('Reference Table'!$A$2:$A$46,MATCH(VALUE('Raw Data'!E472),VALUE('Reference Table'!$B$2:$B$46),0)),"Unknown"))</f>
        <v>Food_Pasta_500g</v>
      </c>
      <c r="E472">
        <f>IF('Raw Data'!E472&lt;&gt;"",'Raw Data'!E472,IFERROR(INDEX('Reference Table'!$B$2:$B$32,MATCH(D472,'Reference Table'!$A$2:$A$32,0)),""))</f>
        <v>65</v>
      </c>
      <c r="F472">
        <f>IF('Raw Data'!F472&lt;&gt;"",'Raw Data'!F472,IFERROR(ROUND('Raw Data'!G472/E472,0),""))</f>
        <v>1</v>
      </c>
      <c r="G472">
        <f>IF('Raw Data'!G472&lt;&gt;"",'Raw Data'!G472,IFERROR(ROUND(E472*F472,2),""))</f>
        <v>65</v>
      </c>
      <c r="H472" t="str">
        <f>'Raw Data'!H472</f>
        <v>Debit Card</v>
      </c>
      <c r="I472" t="str">
        <f>IF('Raw Data'!D472="",IF(D472="Unknown","Could not recover","Filled from Price lookup"),IF(TRIM('Raw Data'!D472)&lt;&gt;'Raw Data'!D472,"Trimmed whitespace","OK"))</f>
        <v>OK</v>
      </c>
      <c r="J472" t="str">
        <f t="shared" si="7"/>
        <v>OK</v>
      </c>
    </row>
    <row r="473" spans="1:10">
      <c r="A473" t="str">
        <f>'Raw Data'!A473</f>
        <v>TXN_1233</v>
      </c>
      <c r="B473" s="1">
        <f>'Raw Data'!B473</f>
        <v>45880</v>
      </c>
      <c r="C473" t="str">
        <f>IFERROR(INDEX('Reference Table'!$C$2:$C$46,MATCH(D473,'Reference Table'!$A$2:$A$46,0)),"Unknown")</f>
        <v>Patisserie</v>
      </c>
      <c r="D473" t="str">
        <f t="array" ref="D473">IF(TRIM('Raw Data'!D473)&lt;&gt;"",TRIM('Raw Data'!D473),IFERROR(INDEX('Reference Table'!$A$2:$A$46,MATCH(VALUE('Raw Data'!E473),VALUE('Reference Table'!$B$2:$B$46),0)),"Unknown"))</f>
        <v>Pat_Cake_Slice</v>
      </c>
      <c r="E473">
        <f>IF('Raw Data'!E473&lt;&gt;"",'Raw Data'!E473,IFERROR(INDEX('Reference Table'!$B$2:$B$32,MATCH(D473,'Reference Table'!$A$2:$A$32,0)),""))</f>
        <v>90</v>
      </c>
      <c r="F473">
        <f>IF('Raw Data'!F473&lt;&gt;"",'Raw Data'!F473,IFERROR(ROUND('Raw Data'!G473/E473,0),""))</f>
        <v>6</v>
      </c>
      <c r="G473">
        <f>IF('Raw Data'!G473&lt;&gt;"",'Raw Data'!G473,IFERROR(ROUND(E473*F473,2),""))</f>
        <v>540</v>
      </c>
      <c r="H473" t="str">
        <f>'Raw Data'!H473</f>
        <v>Debit Card</v>
      </c>
      <c r="I473" t="str">
        <f>IF('Raw Data'!D473="",IF(D473="Unknown","Could not recover","Filled from Price lookup"),IF(TRIM('Raw Data'!D473)&lt;&gt;'Raw Data'!D473,"Trimmed whitespace","OK"))</f>
        <v>OK</v>
      </c>
      <c r="J473" t="str">
        <f t="shared" si="7"/>
        <v>OK</v>
      </c>
    </row>
    <row r="474" spans="1:10">
      <c r="A474" t="str">
        <f>'Raw Data'!A474</f>
        <v>TXN_1592</v>
      </c>
      <c r="B474" s="1">
        <f>'Raw Data'!B474</f>
        <v>45684</v>
      </c>
      <c r="C474" t="str">
        <f>IFERROR(INDEX('Reference Table'!$C$2:$C$46,MATCH(D474,'Reference Table'!$A$2:$A$46,0)),"Unknown")</f>
        <v>Beverages</v>
      </c>
      <c r="D474" t="str">
        <f t="array" ref="D474">IF(TRIM('Raw Data'!D474)&lt;&gt;"",TRIM('Raw Data'!D474),IFERROR(INDEX('Reference Table'!$A$2:$A$46,MATCH(VALUE('Raw Data'!E474),VALUE('Reference Table'!$B$2:$B$46),0)),"Unknown"))</f>
        <v>Bev_Tea_100g</v>
      </c>
      <c r="E474">
        <f>IF('Raw Data'!E474&lt;&gt;"",'Raw Data'!E474,IFERROR(INDEX('Reference Table'!$B$2:$B$32,MATCH(D474,'Reference Table'!$A$2:$A$32,0)),""))</f>
        <v>90</v>
      </c>
      <c r="F474">
        <f>IF('Raw Data'!F474&lt;&gt;"",'Raw Data'!F474,IFERROR(ROUND('Raw Data'!G474/E474,0),""))</f>
        <v>5</v>
      </c>
      <c r="G474">
        <f>IF('Raw Data'!G474&lt;&gt;"",'Raw Data'!G474,IFERROR(ROUND(E474*F474,2),""))</f>
        <v>675</v>
      </c>
      <c r="H474" t="str">
        <f>'Raw Data'!H474</f>
        <v>Credit Card</v>
      </c>
      <c r="I474" t="str">
        <f>IF('Raw Data'!D474="",IF(D474="Unknown","Could not recover","Filled from Price lookup"),IF(TRIM('Raw Data'!D474)&lt;&gt;'Raw Data'!D474,"Trimmed whitespace","OK"))</f>
        <v>OK</v>
      </c>
      <c r="J474" t="str">
        <f t="shared" si="7"/>
        <v>Mismatch</v>
      </c>
    </row>
    <row r="475" spans="1:10">
      <c r="A475" t="str">
        <f>'Raw Data'!A475</f>
        <v>TXN_1080</v>
      </c>
      <c r="B475" s="1">
        <f>'Raw Data'!B475</f>
        <v>45879</v>
      </c>
      <c r="C475" t="str">
        <f>IFERROR(INDEX('Reference Table'!$C$2:$C$46,MATCH(D475,'Reference Table'!$A$2:$A$46,0)),"Unknown")</f>
        <v>Food</v>
      </c>
      <c r="D475" t="str">
        <f t="array" ref="D475">IF(TRIM('Raw Data'!D475)&lt;&gt;"",TRIM('Raw Data'!D475),IFERROR(INDEX('Reference Table'!$A$2:$A$46,MATCH(VALUE('Raw Data'!E475),VALUE('Reference Table'!$B$2:$B$46),0)),"Unknown"))</f>
        <v>Food_Oats_1kg</v>
      </c>
      <c r="E475">
        <f>IF('Raw Data'!E475&lt;&gt;"",'Raw Data'!E475,IFERROR(INDEX('Reference Table'!$B$2:$B$32,MATCH(D475,'Reference Table'!$A$2:$A$32,0)),""))</f>
        <v>120</v>
      </c>
      <c r="F475">
        <f>IF('Raw Data'!F475&lt;&gt;"",'Raw Data'!F475,IFERROR(ROUND('Raw Data'!G475/E475,0),""))</f>
        <v>2</v>
      </c>
      <c r="G475">
        <f>IF('Raw Data'!G475&lt;&gt;"",'Raw Data'!G475,IFERROR(ROUND(E475*F475,2),""))</f>
        <v>240</v>
      </c>
      <c r="H475" t="str">
        <f>'Raw Data'!H475</f>
        <v>Credit Card</v>
      </c>
      <c r="I475" t="str">
        <f>IF('Raw Data'!D475="",IF(D475="Unknown","Could not recover","Filled from Price lookup"),IF(TRIM('Raw Data'!D475)&lt;&gt;'Raw Data'!D475,"Trimmed whitespace","OK"))</f>
        <v>OK</v>
      </c>
      <c r="J475" t="str">
        <f t="shared" si="7"/>
        <v>OK</v>
      </c>
    </row>
    <row r="476" spans="1:10">
      <c r="A476" t="str">
        <f>'Raw Data'!A476</f>
        <v>TXN_1439</v>
      </c>
      <c r="B476" s="1">
        <f>'Raw Data'!B476</f>
        <v>45734</v>
      </c>
      <c r="C476" t="str">
        <f>IFERROR(INDEX('Reference Table'!$C$2:$C$46,MATCH(D476,'Reference Table'!$A$2:$A$46,0)),"Unknown")</f>
        <v>Patisserie</v>
      </c>
      <c r="D476" t="str">
        <f t="array" ref="D476">IF(TRIM('Raw Data'!D476)&lt;&gt;"",TRIM('Raw Data'!D476),IFERROR(INDEX('Reference Table'!$A$2:$A$46,MATCH(VALUE('Raw Data'!E476),VALUE('Reference Table'!$B$2:$B$46),0)),"Unknown"))</f>
        <v>Pat_Donut</v>
      </c>
      <c r="E476">
        <f>IF('Raw Data'!E476&lt;&gt;"",'Raw Data'!E476,IFERROR(INDEX('Reference Table'!$B$2:$B$32,MATCH(D476,'Reference Table'!$A$2:$A$32,0)),""))</f>
        <v>30</v>
      </c>
      <c r="F476">
        <f>IF('Raw Data'!F476&lt;&gt;"",'Raw Data'!F476,IFERROR(ROUND('Raw Data'!G476/E476,0),""))</f>
        <v>5</v>
      </c>
      <c r="G476">
        <f>IF('Raw Data'!G476&lt;&gt;"",'Raw Data'!G476,IFERROR(ROUND(E476*F476,2),""))</f>
        <v>150</v>
      </c>
      <c r="H476" t="str">
        <f>'Raw Data'!H476</f>
        <v>Credit Card</v>
      </c>
      <c r="I476" t="str">
        <f>IF('Raw Data'!D476="",IF(D476="Unknown","Could not recover","Filled from Price lookup"),IF(TRIM('Raw Data'!D476)&lt;&gt;'Raw Data'!D476,"Trimmed whitespace","OK"))</f>
        <v>OK</v>
      </c>
      <c r="J476" t="str">
        <f t="shared" si="7"/>
        <v>OK</v>
      </c>
    </row>
    <row r="477" spans="1:10">
      <c r="A477" t="str">
        <f>'Raw Data'!A477</f>
        <v>TXN_1063</v>
      </c>
      <c r="B477" s="1">
        <f>'Raw Data'!B477</f>
        <v>45829</v>
      </c>
      <c r="C477" t="str">
        <f>IFERROR(INDEX('Reference Table'!$C$2:$C$46,MATCH(D477,'Reference Table'!$A$2:$A$46,0)),"Unknown")</f>
        <v>Electric Accessories</v>
      </c>
      <c r="D477" t="str">
        <f t="array" ref="D477">IF(TRIM('Raw Data'!D477)&lt;&gt;"",TRIM('Raw Data'!D477),IFERROR(INDEX('Reference Table'!$A$2:$A$46,MATCH(VALUE('Raw Data'!E477),VALUE('Reference Table'!$B$2:$B$46),0)),"Unknown"))</f>
        <v>Elec_Cable_USB</v>
      </c>
      <c r="E477">
        <f>IF('Raw Data'!E477&lt;&gt;"",'Raw Data'!E477,IFERROR(INDEX('Reference Table'!$B$2:$B$32,MATCH(D477,'Reference Table'!$A$2:$A$32,0)),""))</f>
        <v>150</v>
      </c>
      <c r="F477">
        <f>IF('Raw Data'!F477&lt;&gt;"",'Raw Data'!F477,IFERROR(ROUND('Raw Data'!G477/E477,0),""))</f>
        <v>2</v>
      </c>
      <c r="G477">
        <f>IF('Raw Data'!G477&lt;&gt;"",'Raw Data'!G477,IFERROR(ROUND(E477*F477,2),""))</f>
        <v>300</v>
      </c>
      <c r="H477" t="str">
        <f>'Raw Data'!H477</f>
        <v>Debit Card</v>
      </c>
      <c r="I477" t="str">
        <f>IF('Raw Data'!D477="",IF(D477="Unknown","Could not recover","Filled from Price lookup"),IF(TRIM('Raw Data'!D477)&lt;&gt;'Raw Data'!D477,"Trimmed whitespace","OK"))</f>
        <v>OK</v>
      </c>
      <c r="J477" t="str">
        <f t="shared" si="7"/>
        <v>OK</v>
      </c>
    </row>
    <row r="478" spans="1:10">
      <c r="A478" t="str">
        <f>'Raw Data'!A478</f>
        <v>TXN_1008</v>
      </c>
      <c r="B478" s="1">
        <f>'Raw Data'!B478</f>
        <v>45775</v>
      </c>
      <c r="C478" t="str">
        <f>IFERROR(INDEX('Reference Table'!$C$2:$C$46,MATCH(D478,'Reference Table'!$A$2:$A$46,0)),"Unknown")</f>
        <v>Beverages</v>
      </c>
      <c r="D478" t="str">
        <f t="array" ref="D478">IF(TRIM('Raw Data'!D478)&lt;&gt;"",TRIM('Raw Data'!D478),IFERROR(INDEX('Reference Table'!$A$2:$A$46,MATCH(VALUE('Raw Data'!E478),VALUE('Reference Table'!$B$2:$B$46),0)),"Unknown"))</f>
        <v>Bev_Water_1L</v>
      </c>
      <c r="E478">
        <f>IF('Raw Data'!E478&lt;&gt;"",'Raw Data'!E478,IFERROR(INDEX('Reference Table'!$B$2:$B$32,MATCH(D478,'Reference Table'!$A$2:$A$32,0)),""))</f>
        <v>20</v>
      </c>
      <c r="F478">
        <f>IF('Raw Data'!F478&lt;&gt;"",'Raw Data'!F478,IFERROR(ROUND('Raw Data'!G478/E478,0),""))</f>
        <v>6</v>
      </c>
      <c r="G478">
        <f>IF('Raw Data'!G478&lt;&gt;"",'Raw Data'!G478,IFERROR(ROUND(E478*F478,2),""))</f>
        <v>120</v>
      </c>
      <c r="H478" t="str">
        <f>'Raw Data'!H478</f>
        <v>Cash</v>
      </c>
      <c r="I478" t="str">
        <f>IF('Raw Data'!D478="",IF(D478="Unknown","Could not recover","Filled from Price lookup"),IF(TRIM('Raw Data'!D478)&lt;&gt;'Raw Data'!D478,"Trimmed whitespace","OK"))</f>
        <v>OK</v>
      </c>
      <c r="J478" t="str">
        <f t="shared" si="7"/>
        <v>OK</v>
      </c>
    </row>
    <row r="479" spans="1:10">
      <c r="A479" t="str">
        <f>'Raw Data'!A479</f>
        <v>TXN_1235</v>
      </c>
      <c r="B479" s="1">
        <f>'Raw Data'!B479</f>
        <v>45751</v>
      </c>
      <c r="C479" t="str">
        <f>IFERROR(INDEX('Reference Table'!$C$2:$C$46,MATCH(D479,'Reference Table'!$A$2:$A$46,0)),"Unknown")</f>
        <v>Electric Accessories</v>
      </c>
      <c r="D479" t="str">
        <f t="array" ref="D479">IF(TRIM('Raw Data'!D479)&lt;&gt;"",TRIM('Raw Data'!D479),IFERROR(INDEX('Reference Table'!$A$2:$A$46,MATCH(VALUE('Raw Data'!E479),VALUE('Reference Table'!$B$2:$B$46),0)),"Unknown"))</f>
        <v>Elec_Cable_USB</v>
      </c>
      <c r="E479">
        <f>IF('Raw Data'!E479&lt;&gt;"",'Raw Data'!E479,IFERROR(INDEX('Reference Table'!$B$2:$B$32,MATCH(D479,'Reference Table'!$A$2:$A$32,0)),""))</f>
        <v>150</v>
      </c>
      <c r="F479">
        <f>IF('Raw Data'!F479&lt;&gt;"",'Raw Data'!F479,IFERROR(ROUND('Raw Data'!G479/E479,0),""))</f>
        <v>5</v>
      </c>
      <c r="G479">
        <f>IF('Raw Data'!G479&lt;&gt;"",'Raw Data'!G479,IFERROR(ROUND(E479*F479,2),""))</f>
        <v>750</v>
      </c>
      <c r="H479" t="str">
        <f>'Raw Data'!H479</f>
        <v>Cash</v>
      </c>
      <c r="I479" t="str">
        <f>IF('Raw Data'!D479="",IF(D479="Unknown","Could not recover","Filled from Price lookup"),IF(TRIM('Raw Data'!D479)&lt;&gt;'Raw Data'!D479,"Trimmed whitespace","OK"))</f>
        <v>OK</v>
      </c>
      <c r="J479" t="str">
        <f t="shared" si="7"/>
        <v>OK</v>
      </c>
    </row>
    <row r="480" spans="1:10">
      <c r="A480" t="str">
        <f>'Raw Data'!A480</f>
        <v>TXN_1428</v>
      </c>
      <c r="B480" s="1">
        <f>'Raw Data'!B480</f>
        <v>45807</v>
      </c>
      <c r="C480" t="str">
        <f>IFERROR(INDEX('Reference Table'!$C$2:$C$46,MATCH(D480,'Reference Table'!$A$2:$A$46,0)),"Unknown")</f>
        <v>Food</v>
      </c>
      <c r="D480" t="str">
        <f t="array" ref="D480">IF(TRIM('Raw Data'!D480)&lt;&gt;"",TRIM('Raw Data'!D480),IFERROR(INDEX('Reference Table'!$A$2:$A$46,MATCH(VALUE('Raw Data'!E480),VALUE('Reference Table'!$B$2:$B$46),0)),"Unknown"))</f>
        <v>Food_Pasta_500g</v>
      </c>
      <c r="E480">
        <f>IF('Raw Data'!E480&lt;&gt;"",'Raw Data'!E480,IFERROR(INDEX('Reference Table'!$B$2:$B$32,MATCH(D480,'Reference Table'!$A$2:$A$32,0)),""))</f>
        <v>65</v>
      </c>
      <c r="F480">
        <f>IF('Raw Data'!F480&lt;&gt;"",'Raw Data'!F480,IFERROR(ROUND('Raw Data'!G480/E480,0),""))</f>
        <v>4</v>
      </c>
      <c r="G480">
        <f>IF('Raw Data'!G480&lt;&gt;"",'Raw Data'!G480,IFERROR(ROUND(E480*F480,2),""))</f>
        <v>260</v>
      </c>
      <c r="H480" t="str">
        <f>'Raw Data'!H480</f>
        <v>Debit Card</v>
      </c>
      <c r="I480" t="str">
        <f>IF('Raw Data'!D480="",IF(D480="Unknown","Could not recover","Filled from Price lookup"),IF(TRIM('Raw Data'!D480)&lt;&gt;'Raw Data'!D480,"Trimmed whitespace","OK"))</f>
        <v>OK</v>
      </c>
      <c r="J480" t="str">
        <f t="shared" si="7"/>
        <v>OK</v>
      </c>
    </row>
    <row r="481" spans="1:10">
      <c r="A481" t="str">
        <f>'Raw Data'!A481</f>
        <v>TXN_1401</v>
      </c>
      <c r="B481" s="1">
        <f>'Raw Data'!B481</f>
        <v>45821</v>
      </c>
      <c r="C481" t="str">
        <f>IFERROR(INDEX('Reference Table'!$C$2:$C$46,MATCH(D481,'Reference Table'!$A$2:$A$46,0)),"Unknown")</f>
        <v>Electric Accessories</v>
      </c>
      <c r="D481" t="str">
        <f t="array" ref="D481">IF(TRIM('Raw Data'!D481)&lt;&gt;"",TRIM('Raw Data'!D481),IFERROR(INDEX('Reference Table'!$A$2:$A$46,MATCH(VALUE('Raw Data'!E481),VALUE('Reference Table'!$B$2:$B$46),0)),"Unknown"))</f>
        <v>Elec_Charger</v>
      </c>
      <c r="E481">
        <f>IF('Raw Data'!E481&lt;&gt;"",'Raw Data'!E481,IFERROR(INDEX('Reference Table'!$B$2:$B$32,MATCH(D481,'Reference Table'!$A$2:$A$32,0)),""))</f>
        <v>400</v>
      </c>
      <c r="F481">
        <f>IF('Raw Data'!F481&lt;&gt;"",'Raw Data'!F481,IFERROR(ROUND('Raw Data'!G481/E481,0),""))</f>
        <v>5</v>
      </c>
      <c r="G481">
        <f>IF('Raw Data'!G481&lt;&gt;"",'Raw Data'!G481,IFERROR(ROUND(E481*F481,2),""))</f>
        <v>2000</v>
      </c>
      <c r="H481" t="str">
        <f>'Raw Data'!H481</f>
        <v>Cash</v>
      </c>
      <c r="I481" t="str">
        <f>IF('Raw Data'!D481="",IF(D481="Unknown","Could not recover","Filled from Price lookup"),IF(TRIM('Raw Data'!D481)&lt;&gt;'Raw Data'!D481,"Trimmed whitespace","OK"))</f>
        <v>OK</v>
      </c>
      <c r="J481" t="str">
        <f t="shared" si="7"/>
        <v>OK</v>
      </c>
    </row>
    <row r="482" spans="1:10">
      <c r="A482" t="str">
        <f>'Raw Data'!A482</f>
        <v>TXN_1320</v>
      </c>
      <c r="B482" s="1">
        <f>'Raw Data'!B482</f>
        <v>45801</v>
      </c>
      <c r="C482" t="str">
        <f>IFERROR(INDEX('Reference Table'!$C$2:$C$46,MATCH(D482,'Reference Table'!$A$2:$A$46,0)),"Unknown")</f>
        <v>Food</v>
      </c>
      <c r="D482" t="str">
        <f t="array" ref="D482">IF(TRIM('Raw Data'!D482)&lt;&gt;"",TRIM('Raw Data'!D482),IFERROR(INDEX('Reference Table'!$A$2:$A$46,MATCH(VALUE('Raw Data'!E482),VALUE('Reference Table'!$B$2:$B$46),0)),"Unknown"))</f>
        <v>Food_Rice_1kg</v>
      </c>
      <c r="E482">
        <f>IF('Raw Data'!E482&lt;&gt;"",'Raw Data'!E482,IFERROR(INDEX('Reference Table'!$B$2:$B$32,MATCH(D482,'Reference Table'!$A$2:$A$32,0)),""))</f>
        <v>70</v>
      </c>
      <c r="F482">
        <f>IF('Raw Data'!F482&lt;&gt;"",'Raw Data'!F482,IFERROR(ROUND('Raw Data'!G482/E482,0),""))</f>
        <v>3</v>
      </c>
      <c r="G482">
        <f>IF('Raw Data'!G482&lt;&gt;"",'Raw Data'!G482,IFERROR(ROUND(E482*F482,2),""))</f>
        <v>210</v>
      </c>
      <c r="H482" t="str">
        <f>'Raw Data'!H482</f>
        <v>Mobile Payment</v>
      </c>
      <c r="I482" t="str">
        <f>IF('Raw Data'!D482="",IF(D482="Unknown","Could not recover","Filled from Price lookup"),IF(TRIM('Raw Data'!D482)&lt;&gt;'Raw Data'!D482,"Trimmed whitespace","OK"))</f>
        <v>OK</v>
      </c>
      <c r="J482" t="str">
        <f t="shared" si="7"/>
        <v>OK</v>
      </c>
    </row>
    <row r="483" spans="1:10">
      <c r="A483" t="str">
        <f>'Raw Data'!A483</f>
        <v>TXN_1050</v>
      </c>
      <c r="B483" s="1">
        <f>'Raw Data'!B483</f>
        <v>45766</v>
      </c>
      <c r="C483" t="str">
        <f>IFERROR(INDEX('Reference Table'!$C$2:$C$46,MATCH(D483,'Reference Table'!$A$2:$A$46,0)),"Unknown")</f>
        <v>Electric Accessories</v>
      </c>
      <c r="D483" t="str">
        <f t="array" ref="D483">IF(TRIM('Raw Data'!D483)&lt;&gt;"",TRIM('Raw Data'!D483),IFERROR(INDEX('Reference Table'!$A$2:$A$46,MATCH(VALUE('Raw Data'!E483),VALUE('Reference Table'!$B$2:$B$46),0)),"Unknown"))</f>
        <v>Elec_Batteries_4pk</v>
      </c>
      <c r="E483">
        <f>IF('Raw Data'!E483&lt;&gt;"",'Raw Data'!E483,IFERROR(INDEX('Reference Table'!$B$2:$B$32,MATCH(D483,'Reference Table'!$A$2:$A$32,0)),""))</f>
        <v>90</v>
      </c>
      <c r="F483">
        <f>IF('Raw Data'!F483&lt;&gt;"",'Raw Data'!F483,IFERROR(ROUND('Raw Data'!G483/E483,0),""))</f>
        <v>2</v>
      </c>
      <c r="G483">
        <f>IF('Raw Data'!G483&lt;&gt;"",'Raw Data'!G483,IFERROR(ROUND(E483*F483,2),""))</f>
        <v>180</v>
      </c>
      <c r="H483" t="str">
        <f>'Raw Data'!H483</f>
        <v>Credit Card</v>
      </c>
      <c r="I483" t="str">
        <f>IF('Raw Data'!D483="",IF(D483="Unknown","Could not recover","Filled from Price lookup"),IF(TRIM('Raw Data'!D483)&lt;&gt;'Raw Data'!D483,"Trimmed whitespace","OK"))</f>
        <v>OK</v>
      </c>
      <c r="J483" t="str">
        <f t="shared" si="7"/>
        <v>OK</v>
      </c>
    </row>
    <row r="484" spans="1:10">
      <c r="A484" t="str">
        <f>'Raw Data'!A484</f>
        <v>TXN_1023</v>
      </c>
      <c r="B484" s="1">
        <f>'Raw Data'!B484</f>
        <v>45784</v>
      </c>
      <c r="C484" t="str">
        <f>IFERROR(INDEX('Reference Table'!$C$2:$C$46,MATCH(D484,'Reference Table'!$A$2:$A$46,0)),"Unknown")</f>
        <v>Food</v>
      </c>
      <c r="D484" t="str">
        <f t="array" ref="D484">IF(TRIM('Raw Data'!D484)&lt;&gt;"",TRIM('Raw Data'!D484),IFERROR(INDEX('Reference Table'!$A$2:$A$46,MATCH(VALUE('Raw Data'!E484),VALUE('Reference Table'!$B$2:$B$46),0)),"Unknown"))</f>
        <v>Food_Cereal_500g</v>
      </c>
      <c r="E484">
        <f>IF('Raw Data'!E484&lt;&gt;"",'Raw Data'!E484,IFERROR(INDEX('Reference Table'!$B$2:$B$32,MATCH(D484,'Reference Table'!$A$2:$A$32,0)),""))</f>
        <v>150</v>
      </c>
      <c r="F484">
        <f>IF('Raw Data'!F484&lt;&gt;"",'Raw Data'!F484,IFERROR(ROUND('Raw Data'!G484/E484,0),""))</f>
        <v>5</v>
      </c>
      <c r="G484">
        <f>IF('Raw Data'!G484&lt;&gt;"",'Raw Data'!G484,IFERROR(ROUND(E484*F484,2),""))</f>
        <v>750</v>
      </c>
      <c r="H484" t="str">
        <f>'Raw Data'!H484</f>
        <v>Cash</v>
      </c>
      <c r="I484" t="str">
        <f>IF('Raw Data'!D484="",IF(D484="Unknown","Could not recover","Filled from Price lookup"),IF(TRIM('Raw Data'!D484)&lt;&gt;'Raw Data'!D484,"Trimmed whitespace","OK"))</f>
        <v>OK</v>
      </c>
      <c r="J484" t="str">
        <f t="shared" si="7"/>
        <v>OK</v>
      </c>
    </row>
    <row r="485" spans="1:10">
      <c r="A485" t="str">
        <f>'Raw Data'!A485</f>
        <v>TXN_1024</v>
      </c>
      <c r="B485" s="1">
        <f>'Raw Data'!B485</f>
        <v>45818</v>
      </c>
      <c r="C485" t="str">
        <f>IFERROR(INDEX('Reference Table'!$C$2:$C$46,MATCH(D485,'Reference Table'!$A$2:$A$46,0)),"Unknown")</f>
        <v>Food</v>
      </c>
      <c r="D485" t="str">
        <f t="array" ref="D485">IF(TRIM('Raw Data'!D485)&lt;&gt;"",TRIM('Raw Data'!D485),IFERROR(INDEX('Reference Table'!$A$2:$A$46,MATCH(VALUE('Raw Data'!E485),VALUE('Reference Table'!$B$2:$B$46),0)),"Unknown"))</f>
        <v>Food_Pasta_500g</v>
      </c>
      <c r="E485">
        <f>IF('Raw Data'!E485&lt;&gt;"",'Raw Data'!E485,IFERROR(INDEX('Reference Table'!$B$2:$B$32,MATCH(D485,'Reference Table'!$A$2:$A$32,0)),""))</f>
        <v>65</v>
      </c>
      <c r="F485">
        <f>IF('Raw Data'!F485&lt;&gt;"",'Raw Data'!F485,IFERROR(ROUND('Raw Data'!G485/E485,0),""))</f>
        <v>2</v>
      </c>
      <c r="G485">
        <f>IF('Raw Data'!G485&lt;&gt;"",'Raw Data'!G485,IFERROR(ROUND(E485*F485,2),""))</f>
        <v>130</v>
      </c>
      <c r="H485" t="str">
        <f>'Raw Data'!H485</f>
        <v>Credit Card</v>
      </c>
      <c r="I485" t="str">
        <f>IF('Raw Data'!D485="",IF(D485="Unknown","Could not recover","Filled from Price lookup"),IF(TRIM('Raw Data'!D485)&lt;&gt;'Raw Data'!D485,"Trimmed whitespace","OK"))</f>
        <v>OK</v>
      </c>
      <c r="J485" t="str">
        <f t="shared" si="7"/>
        <v>OK</v>
      </c>
    </row>
    <row r="486" spans="1:10">
      <c r="A486" t="str">
        <f>'Raw Data'!A486</f>
        <v>TXN_1390</v>
      </c>
      <c r="B486" s="1">
        <f>'Raw Data'!B486</f>
        <v>45777</v>
      </c>
      <c r="C486" t="str">
        <f>IFERROR(INDEX('Reference Table'!$C$2:$C$46,MATCH(D486,'Reference Table'!$A$2:$A$46,0)),"Unknown")</f>
        <v>Beverages</v>
      </c>
      <c r="D486" t="str">
        <f t="array" ref="D486">IF(TRIM('Raw Data'!D486)&lt;&gt;"",TRIM('Raw Data'!D486),IFERROR(INDEX('Reference Table'!$A$2:$A$46,MATCH(VALUE('Raw Data'!E486),VALUE('Reference Table'!$B$2:$B$46),0)),"Unknown"))</f>
        <v>Bev_Tea_100g</v>
      </c>
      <c r="E486" t="str">
        <f>IF('Raw Data'!E486&lt;&gt;"",'Raw Data'!E486,IFERROR(INDEX('Reference Table'!$B$2:$B$32,MATCH(D486,'Reference Table'!$A$2:$A$32,0)),""))</f>
        <v/>
      </c>
      <c r="F486">
        <f>IF('Raw Data'!F486&lt;&gt;"",'Raw Data'!F486,IFERROR(ROUND('Raw Data'!G486/E486,0),""))</f>
        <v>4</v>
      </c>
      <c r="G486">
        <f>IF('Raw Data'!G486&lt;&gt;"",'Raw Data'!G486,IFERROR(ROUND(E486*F486,2),""))</f>
        <v>360</v>
      </c>
      <c r="H486" t="str">
        <f>'Raw Data'!H486</f>
        <v>Debit Card</v>
      </c>
      <c r="I486" t="str">
        <f>IF('Raw Data'!D486="",IF(D486="Unknown","Could not recover","Filled from Price lookup"),IF(TRIM('Raw Data'!D486)&lt;&gt;'Raw Data'!D486,"Trimmed whitespace","OK"))</f>
        <v>OK</v>
      </c>
      <c r="J486" t="str">
        <f t="shared" si="7"/>
        <v>Incomplete</v>
      </c>
    </row>
    <row r="487" spans="1:10">
      <c r="A487" t="str">
        <f>'Raw Data'!A487</f>
        <v>TXN_1349</v>
      </c>
      <c r="B487" s="1">
        <f>'Raw Data'!B487</f>
        <v>45748</v>
      </c>
      <c r="C487" t="str">
        <f>IFERROR(INDEX('Reference Table'!$C$2:$C$46,MATCH(D487,'Reference Table'!$A$2:$A$46,0)),"Unknown")</f>
        <v>Beverages</v>
      </c>
      <c r="D487" t="str">
        <f t="array" ref="D487">IF(TRIM('Raw Data'!D487)&lt;&gt;"",TRIM('Raw Data'!D487),IFERROR(INDEX('Reference Table'!$A$2:$A$46,MATCH(VALUE('Raw Data'!E487),VALUE('Reference Table'!$B$2:$B$46),0)),"Unknown"))</f>
        <v>Bev_Cola_1L</v>
      </c>
      <c r="E487">
        <f>IF('Raw Data'!E487&lt;&gt;"",'Raw Data'!E487,IFERROR(INDEX('Reference Table'!$B$2:$B$32,MATCH(D487,'Reference Table'!$A$2:$A$32,0)),""))</f>
        <v>60</v>
      </c>
      <c r="F487">
        <f>IF('Raw Data'!F487&lt;&gt;"",'Raw Data'!F487,IFERROR(ROUND('Raw Data'!G487/E487,0),""))</f>
        <v>5</v>
      </c>
      <c r="G487">
        <f>IF('Raw Data'!G487&lt;&gt;"",'Raw Data'!G487,IFERROR(ROUND(E487*F487,2),""))</f>
        <v>300</v>
      </c>
      <c r="H487" t="str">
        <f>'Raw Data'!H487</f>
        <v>Credit Card</v>
      </c>
      <c r="I487" t="str">
        <f>IF('Raw Data'!D487="",IF(D487="Unknown","Could not recover","Filled from Price lookup"),IF(TRIM('Raw Data'!D487)&lt;&gt;'Raw Data'!D487,"Trimmed whitespace","OK"))</f>
        <v>OK</v>
      </c>
      <c r="J487" t="str">
        <f t="shared" si="7"/>
        <v>OK</v>
      </c>
    </row>
    <row r="488" spans="1:10">
      <c r="A488" t="str">
        <f>'Raw Data'!A488</f>
        <v>TXN_1457</v>
      </c>
      <c r="B488" s="1">
        <f>'Raw Data'!B488</f>
        <v>45730</v>
      </c>
      <c r="C488" t="str">
        <f>IFERROR(INDEX('Reference Table'!$C$2:$C$46,MATCH(D488,'Reference Table'!$A$2:$A$46,0)),"Unknown")</f>
        <v>Food</v>
      </c>
      <c r="D488" t="str">
        <f t="array" ref="D488">IF(TRIM('Raw Data'!D488)&lt;&gt;"",TRIM('Raw Data'!D488),IFERROR(INDEX('Reference Table'!$A$2:$A$46,MATCH(VALUE('Raw Data'!E488),VALUE('Reference Table'!$B$2:$B$46),0)),"Unknown"))</f>
        <v>Food_Wheat_1kg</v>
      </c>
      <c r="E488">
        <f>IF('Raw Data'!E488&lt;&gt;"",'Raw Data'!E488,IFERROR(INDEX('Reference Table'!$B$2:$B$32,MATCH(D488,'Reference Table'!$A$2:$A$32,0)),""))</f>
        <v>55</v>
      </c>
      <c r="F488">
        <f>IF('Raw Data'!F488&lt;&gt;"",'Raw Data'!F488,IFERROR(ROUND('Raw Data'!G488/E488,0),""))</f>
        <v>3</v>
      </c>
      <c r="G488">
        <f>IF('Raw Data'!G488&lt;&gt;"",'Raw Data'!G488,IFERROR(ROUND(E488*F488,2),""))</f>
        <v>165</v>
      </c>
      <c r="H488" t="str">
        <f>'Raw Data'!H488</f>
        <v>Mobile Payment</v>
      </c>
      <c r="I488" t="str">
        <f>IF('Raw Data'!D488="",IF(D488="Unknown","Could not recover","Filled from Price lookup"),IF(TRIM('Raw Data'!D488)&lt;&gt;'Raw Data'!D488,"Trimmed whitespace","OK"))</f>
        <v>OK</v>
      </c>
      <c r="J488" t="str">
        <f t="shared" si="7"/>
        <v>OK</v>
      </c>
    </row>
    <row r="489" spans="1:10">
      <c r="A489" t="str">
        <f>'Raw Data'!A489</f>
        <v>TXN_1175</v>
      </c>
      <c r="B489" s="1">
        <f>'Raw Data'!B489</f>
        <v>45823</v>
      </c>
      <c r="C489" t="str">
        <f>IFERROR(INDEX('Reference Table'!$C$2:$C$46,MATCH(D489,'Reference Table'!$A$2:$A$46,0)),"Unknown")</f>
        <v>Computers</v>
      </c>
      <c r="D489" t="str">
        <f t="array" ref="D489">IF(TRIM('Raw Data'!D489)&lt;&gt;"",TRIM('Raw Data'!D489),IFERROR(INDEX('Reference Table'!$A$2:$A$46,MATCH(VALUE('Raw Data'!E489),VALUE('Reference Table'!$B$2:$B$46),0)),"Unknown"))</f>
        <v>Comp_Webcam</v>
      </c>
      <c r="E489">
        <f>IF('Raw Data'!E489&lt;&gt;"",'Raw Data'!E489,IFERROR(INDEX('Reference Table'!$B$2:$B$32,MATCH(D489,'Reference Table'!$A$2:$A$32,0)),""))</f>
        <v>1200</v>
      </c>
      <c r="F489">
        <f>IF('Raw Data'!F489&lt;&gt;"",'Raw Data'!F489,IFERROR(ROUND('Raw Data'!G489/E489,0),""))</f>
        <v>2</v>
      </c>
      <c r="G489">
        <f>IF('Raw Data'!G489&lt;&gt;"",'Raw Data'!G489,IFERROR(ROUND(E489*F489,2),""))</f>
        <v>2400</v>
      </c>
      <c r="H489" t="str">
        <f>'Raw Data'!H489</f>
        <v>Credit Card</v>
      </c>
      <c r="I489" t="str">
        <f>IF('Raw Data'!D489="",IF(D489="Unknown","Could not recover","Filled from Price lookup"),IF(TRIM('Raw Data'!D489)&lt;&gt;'Raw Data'!D489,"Trimmed whitespace","OK"))</f>
        <v>OK</v>
      </c>
      <c r="J489" t="str">
        <f t="shared" si="7"/>
        <v>OK</v>
      </c>
    </row>
    <row r="490" spans="1:10">
      <c r="A490" t="str">
        <f>'Raw Data'!A490</f>
        <v>TXN_1403</v>
      </c>
      <c r="B490" s="1">
        <f>'Raw Data'!B490</f>
        <v>45774</v>
      </c>
      <c r="C490" t="str">
        <f>IFERROR(INDEX('Reference Table'!$C$2:$C$46,MATCH(D490,'Reference Table'!$A$2:$A$46,0)),"Unknown")</f>
        <v>Electric Accessories</v>
      </c>
      <c r="D490" t="str">
        <f t="array" ref="D490">IF(TRIM('Raw Data'!D490)&lt;&gt;"",TRIM('Raw Data'!D490),IFERROR(INDEX('Reference Table'!$A$2:$A$46,MATCH(VALUE('Raw Data'!E490),VALUE('Reference Table'!$B$2:$B$46),0)),"Unknown"))</f>
        <v>Elec_Cable_USB</v>
      </c>
      <c r="E490">
        <f>IF('Raw Data'!E490&lt;&gt;"",'Raw Data'!E490,IFERROR(INDEX('Reference Table'!$B$2:$B$32,MATCH(D490,'Reference Table'!$A$2:$A$32,0)),""))</f>
        <v>150</v>
      </c>
      <c r="F490">
        <f>IF('Raw Data'!F490&lt;&gt;"",'Raw Data'!F490,IFERROR(ROUND('Raw Data'!G490/E490,0),""))</f>
        <v>3</v>
      </c>
      <c r="G490">
        <f>IF('Raw Data'!G490&lt;&gt;"",'Raw Data'!G490,IFERROR(ROUND(E490*F490,2),""))</f>
        <v>450</v>
      </c>
      <c r="H490" t="str">
        <f>'Raw Data'!H490</f>
        <v>Cash</v>
      </c>
      <c r="I490" t="str">
        <f>IF('Raw Data'!D490="",IF(D490="Unknown","Could not recover","Filled from Price lookup"),IF(TRIM('Raw Data'!D490)&lt;&gt;'Raw Data'!D490,"Trimmed whitespace","OK"))</f>
        <v>OK</v>
      </c>
      <c r="J490" t="str">
        <f t="shared" si="7"/>
        <v>OK</v>
      </c>
    </row>
    <row r="491" spans="1:10">
      <c r="A491" t="str">
        <f>'Raw Data'!A491</f>
        <v>TXN_1248</v>
      </c>
      <c r="B491" s="1">
        <f>'Raw Data'!B491</f>
        <v>45689</v>
      </c>
      <c r="C491" t="str">
        <f>IFERROR(INDEX('Reference Table'!$C$2:$C$46,MATCH(D491,'Reference Table'!$A$2:$A$46,0)),"Unknown")</f>
        <v>Patisserie</v>
      </c>
      <c r="D491" t="str">
        <f t="array" ref="D491">IF(TRIM('Raw Data'!D491)&lt;&gt;"",TRIM('Raw Data'!D491),IFERROR(INDEX('Reference Table'!$A$2:$A$46,MATCH(VALUE('Raw Data'!E491),VALUE('Reference Table'!$B$2:$B$46),0)),"Unknown"))</f>
        <v>Pat_Donut</v>
      </c>
      <c r="E491">
        <f>IF('Raw Data'!E491&lt;&gt;"",'Raw Data'!E491,IFERROR(INDEX('Reference Table'!$B$2:$B$32,MATCH(D491,'Reference Table'!$A$2:$A$32,0)),""))</f>
        <v>30</v>
      </c>
      <c r="F491">
        <f>IF('Raw Data'!F491&lt;&gt;"",'Raw Data'!F491,IFERROR(ROUND('Raw Data'!G491/E491,0),""))</f>
        <v>2</v>
      </c>
      <c r="G491">
        <f>IF('Raw Data'!G491&lt;&gt;"",'Raw Data'!G491,IFERROR(ROUND(E491*F491,2),""))</f>
        <v>60</v>
      </c>
      <c r="H491" t="str">
        <f>'Raw Data'!H491</f>
        <v>Mobile Payment</v>
      </c>
      <c r="I491" t="str">
        <f>IF('Raw Data'!D491="",IF(D491="Unknown","Could not recover","Filled from Price lookup"),IF(TRIM('Raw Data'!D491)&lt;&gt;'Raw Data'!D491,"Trimmed whitespace","OK"))</f>
        <v>Filled from Price lookup</v>
      </c>
      <c r="J491" t="str">
        <f t="shared" si="7"/>
        <v>OK</v>
      </c>
    </row>
    <row r="492" spans="1:10">
      <c r="A492" t="str">
        <f>'Raw Data'!A492</f>
        <v>TXN_1436</v>
      </c>
      <c r="B492" s="1">
        <f>'Raw Data'!B492</f>
        <v>45754</v>
      </c>
      <c r="C492" t="str">
        <f>IFERROR(INDEX('Reference Table'!$C$2:$C$46,MATCH(D492,'Reference Table'!$A$2:$A$46,0)),"Unknown")</f>
        <v>Computers</v>
      </c>
      <c r="D492" t="str">
        <f t="array" ref="D492">IF(TRIM('Raw Data'!D492)&lt;&gt;"",TRIM('Raw Data'!D492),IFERROR(INDEX('Reference Table'!$A$2:$A$46,MATCH(VALUE('Raw Data'!E492),VALUE('Reference Table'!$B$2:$B$46),0)),"Unknown"))</f>
        <v>Comp_Mouse</v>
      </c>
      <c r="E492">
        <f>IF('Raw Data'!E492&lt;&gt;"",'Raw Data'!E492,IFERROR(INDEX('Reference Table'!$B$2:$B$32,MATCH(D492,'Reference Table'!$A$2:$A$32,0)),""))</f>
        <v>500</v>
      </c>
      <c r="F492">
        <f>IF('Raw Data'!F492&lt;&gt;"",'Raw Data'!F492,IFERROR(ROUND('Raw Data'!G492/E492,0),""))</f>
        <v>5</v>
      </c>
      <c r="G492">
        <f>IF('Raw Data'!G492&lt;&gt;"",'Raw Data'!G492,IFERROR(ROUND(E492*F492,2),""))</f>
        <v>2500</v>
      </c>
      <c r="H492" t="str">
        <f>'Raw Data'!H492</f>
        <v>Debit Card</v>
      </c>
      <c r="I492" t="str">
        <f>IF('Raw Data'!D492="",IF(D492="Unknown","Could not recover","Filled from Price lookup"),IF(TRIM('Raw Data'!D492)&lt;&gt;'Raw Data'!D492,"Trimmed whitespace","OK"))</f>
        <v>OK</v>
      </c>
      <c r="J492" t="str">
        <f t="shared" si="7"/>
        <v>OK</v>
      </c>
    </row>
    <row r="493" spans="1:10">
      <c r="A493" t="str">
        <f>'Raw Data'!A493</f>
        <v>TXN_1289</v>
      </c>
      <c r="B493" s="1">
        <f>'Raw Data'!B493</f>
        <v>45792</v>
      </c>
      <c r="C493" t="str">
        <f>IFERROR(INDEX('Reference Table'!$C$2:$C$46,MATCH(D493,'Reference Table'!$A$2:$A$46,0)),"Unknown")</f>
        <v>Furniture</v>
      </c>
      <c r="D493" t="str">
        <f t="array" ref="D493">IF(TRIM('Raw Data'!D493)&lt;&gt;"",TRIM('Raw Data'!D493),IFERROR(INDEX('Reference Table'!$A$2:$A$46,MATCH(VALUE('Raw Data'!E493),VALUE('Reference Table'!$B$2:$B$46),0)),"Unknown"))</f>
        <v>Furn_Lamp</v>
      </c>
      <c r="E493">
        <f>IF('Raw Data'!E493&lt;&gt;"",'Raw Data'!E493,IFERROR(INDEX('Reference Table'!$B$2:$B$32,MATCH(D493,'Reference Table'!$A$2:$A$32,0)),""))</f>
        <v>700</v>
      </c>
      <c r="F493">
        <f>IF('Raw Data'!F493&lt;&gt;"",'Raw Data'!F493,IFERROR(ROUND('Raw Data'!G493/E493,0),""))</f>
        <v>4</v>
      </c>
      <c r="G493">
        <f>IF('Raw Data'!G493&lt;&gt;"",'Raw Data'!G493,IFERROR(ROUND(E493*F493,2),""))</f>
        <v>2800</v>
      </c>
      <c r="H493" t="str">
        <f>'Raw Data'!H493</f>
        <v>Debit Card</v>
      </c>
      <c r="I493" t="str">
        <f>IF('Raw Data'!D493="",IF(D493="Unknown","Could not recover","Filled from Price lookup"),IF(TRIM('Raw Data'!D493)&lt;&gt;'Raw Data'!D493,"Trimmed whitespace","OK"))</f>
        <v>Filled from Price lookup</v>
      </c>
      <c r="J493" t="str">
        <f t="shared" si="7"/>
        <v>OK</v>
      </c>
    </row>
    <row r="494" spans="1:10">
      <c r="A494" t="str">
        <f>'Raw Data'!A494</f>
        <v>TXN_1066</v>
      </c>
      <c r="B494" s="1">
        <f>'Raw Data'!B494</f>
        <v>45752</v>
      </c>
      <c r="C494" t="str">
        <f>IFERROR(INDEX('Reference Table'!$C$2:$C$46,MATCH(D494,'Reference Table'!$A$2:$A$46,0)),"Unknown")</f>
        <v>Beverages</v>
      </c>
      <c r="D494" t="str">
        <f t="array" ref="D494">IF(TRIM('Raw Data'!D494)&lt;&gt;"",TRIM('Raw Data'!D494),IFERROR(INDEX('Reference Table'!$A$2:$A$46,MATCH(VALUE('Raw Data'!E494),VALUE('Reference Table'!$B$2:$B$46),0)),"Unknown"))</f>
        <v>Bev_Tea_100g</v>
      </c>
      <c r="E494" t="str">
        <f>IF('Raw Data'!E494&lt;&gt;"",'Raw Data'!E494,IFERROR(INDEX('Reference Table'!$B$2:$B$32,MATCH(D494,'Reference Table'!$A$2:$A$32,0)),""))</f>
        <v/>
      </c>
      <c r="F494">
        <f>IF('Raw Data'!F494&lt;&gt;"",'Raw Data'!F494,IFERROR(ROUND('Raw Data'!G494/E494,0),""))</f>
        <v>2</v>
      </c>
      <c r="G494">
        <f>IF('Raw Data'!G494&lt;&gt;"",'Raw Data'!G494,IFERROR(ROUND(E494*F494,2),""))</f>
        <v>180</v>
      </c>
      <c r="H494" t="str">
        <f>'Raw Data'!H494</f>
        <v>Debit Card</v>
      </c>
      <c r="I494" t="str">
        <f>IF('Raw Data'!D494="",IF(D494="Unknown","Could not recover","Filled from Price lookup"),IF(TRIM('Raw Data'!D494)&lt;&gt;'Raw Data'!D494,"Trimmed whitespace","OK"))</f>
        <v>OK</v>
      </c>
      <c r="J494" t="str">
        <f t="shared" si="7"/>
        <v>Incomplete</v>
      </c>
    </row>
    <row r="495" spans="1:10">
      <c r="A495" t="str">
        <f>'Raw Data'!A495</f>
        <v>TXN_1586</v>
      </c>
      <c r="B495" s="1">
        <f>'Raw Data'!B495</f>
        <v>45875</v>
      </c>
      <c r="C495" t="str">
        <f>IFERROR(INDEX('Reference Table'!$C$2:$C$46,MATCH(D495,'Reference Table'!$A$2:$A$46,0)),"Unknown")</f>
        <v>Food</v>
      </c>
      <c r="D495" t="str">
        <f t="array" ref="D495">IF(TRIM('Raw Data'!D495)&lt;&gt;"",TRIM('Raw Data'!D495),IFERROR(INDEX('Reference Table'!$A$2:$A$46,MATCH(VALUE('Raw Data'!E495),VALUE('Reference Table'!$B$2:$B$46),0)),"Unknown"))</f>
        <v>Food_Pasta_500g</v>
      </c>
      <c r="E495">
        <f>IF('Raw Data'!E495&lt;&gt;"",'Raw Data'!E495,IFERROR(INDEX('Reference Table'!$B$2:$B$32,MATCH(D495,'Reference Table'!$A$2:$A$32,0)),""))</f>
        <v>65</v>
      </c>
      <c r="F495">
        <f>IF('Raw Data'!F495&lt;&gt;"",'Raw Data'!F495,IFERROR(ROUND('Raw Data'!G495/E495,0),""))</f>
        <v>1</v>
      </c>
      <c r="G495">
        <f>IF('Raw Data'!G495&lt;&gt;"",'Raw Data'!G495,IFERROR(ROUND(E495*F495,2),""))</f>
        <v>65</v>
      </c>
      <c r="H495" t="str">
        <f>'Raw Data'!H495</f>
        <v>Debit Card</v>
      </c>
      <c r="I495" t="str">
        <f>IF('Raw Data'!D495="",IF(D495="Unknown","Could not recover","Filled from Price lookup"),IF(TRIM('Raw Data'!D495)&lt;&gt;'Raw Data'!D495,"Trimmed whitespace","OK"))</f>
        <v>OK</v>
      </c>
      <c r="J495" t="str">
        <f t="shared" si="7"/>
        <v>OK</v>
      </c>
    </row>
    <row r="496" spans="1:10">
      <c r="A496" t="str">
        <f>'Raw Data'!A496</f>
        <v>TXN_1280</v>
      </c>
      <c r="B496" s="1">
        <f>'Raw Data'!B496</f>
        <v>45747</v>
      </c>
      <c r="C496" t="str">
        <f>IFERROR(INDEX('Reference Table'!$C$2:$C$46,MATCH(D496,'Reference Table'!$A$2:$A$46,0)),"Unknown")</f>
        <v>Patisserie</v>
      </c>
      <c r="D496" t="str">
        <f t="array" ref="D496">IF(TRIM('Raw Data'!D496)&lt;&gt;"",TRIM('Raw Data'!D496),IFERROR(INDEX('Reference Table'!$A$2:$A$46,MATCH(VALUE('Raw Data'!E496),VALUE('Reference Table'!$B$2:$B$46),0)),"Unknown"))</f>
        <v>Pat_Cookie_Pack</v>
      </c>
      <c r="E496" t="str">
        <f>IF('Raw Data'!E496&lt;&gt;"",'Raw Data'!E496,IFERROR(INDEX('Reference Table'!$B$2:$B$32,MATCH(D496,'Reference Table'!$A$2:$A$32,0)),""))</f>
        <v/>
      </c>
      <c r="F496">
        <f>IF('Raw Data'!F496&lt;&gt;"",'Raw Data'!F496,IFERROR(ROUND('Raw Data'!G496/E496,0),""))</f>
        <v>3</v>
      </c>
      <c r="G496">
        <f>IF('Raw Data'!G496&lt;&gt;"",'Raw Data'!G496,IFERROR(ROUND(E496*F496,2),""))</f>
        <v>165</v>
      </c>
      <c r="H496" t="str">
        <f>'Raw Data'!H496</f>
        <v>Cash</v>
      </c>
      <c r="I496" t="str">
        <f>IF('Raw Data'!D496="",IF(D496="Unknown","Could not recover","Filled from Price lookup"),IF(TRIM('Raw Data'!D496)&lt;&gt;'Raw Data'!D496,"Trimmed whitespace","OK"))</f>
        <v>OK</v>
      </c>
      <c r="J496" t="str">
        <f t="shared" si="7"/>
        <v>Incomplete</v>
      </c>
    </row>
    <row r="497" spans="1:10">
      <c r="A497" t="str">
        <f>'Raw Data'!A497</f>
        <v>TXN_1546</v>
      </c>
      <c r="B497" s="1">
        <f>'Raw Data'!B497</f>
        <v>45716</v>
      </c>
      <c r="C497" t="str">
        <f>IFERROR(INDEX('Reference Table'!$C$2:$C$46,MATCH(D497,'Reference Table'!$A$2:$A$46,0)),"Unknown")</f>
        <v>Electric Accessories</v>
      </c>
      <c r="D497" t="str">
        <f t="array" ref="D497">IF(TRIM('Raw Data'!D497)&lt;&gt;"",TRIM('Raw Data'!D497),IFERROR(INDEX('Reference Table'!$A$2:$A$46,MATCH(VALUE('Raw Data'!E497),VALUE('Reference Table'!$B$2:$B$46),0)),"Unknown"))</f>
        <v>Elec_Batteries_4pk</v>
      </c>
      <c r="E497">
        <f>IF('Raw Data'!E497&lt;&gt;"",'Raw Data'!E497,IFERROR(INDEX('Reference Table'!$B$2:$B$32,MATCH(D497,'Reference Table'!$A$2:$A$32,0)),""))</f>
        <v>90</v>
      </c>
      <c r="F497">
        <f>IF('Raw Data'!F497&lt;&gt;"",'Raw Data'!F497,IFERROR(ROUND('Raw Data'!G497/E497,0),""))</f>
        <v>4</v>
      </c>
      <c r="G497">
        <f>IF('Raw Data'!G497&lt;&gt;"",'Raw Data'!G497,IFERROR(ROUND(E497*F497,2),""))</f>
        <v>360</v>
      </c>
      <c r="H497" t="str">
        <f>'Raw Data'!H497</f>
        <v>Debit Card</v>
      </c>
      <c r="I497" t="str">
        <f>IF('Raw Data'!D497="",IF(D497="Unknown","Could not recover","Filled from Price lookup"),IF(TRIM('Raw Data'!D497)&lt;&gt;'Raw Data'!D497,"Trimmed whitespace","OK"))</f>
        <v>OK</v>
      </c>
      <c r="J497" t="str">
        <f t="shared" si="7"/>
        <v>OK</v>
      </c>
    </row>
    <row r="498" spans="1:10">
      <c r="A498" t="str">
        <f>'Raw Data'!A498</f>
        <v>TXN_1527</v>
      </c>
      <c r="B498" s="1">
        <f>'Raw Data'!B498</f>
        <v>45731</v>
      </c>
      <c r="C498" t="str">
        <f>IFERROR(INDEX('Reference Table'!$C$2:$C$46,MATCH(D498,'Reference Table'!$A$2:$A$46,0)),"Unknown")</f>
        <v>Patisserie</v>
      </c>
      <c r="D498" t="str">
        <f t="array" ref="D498">IF(TRIM('Raw Data'!D498)&lt;&gt;"",TRIM('Raw Data'!D498),IFERROR(INDEX('Reference Table'!$A$2:$A$46,MATCH(VALUE('Raw Data'!E498),VALUE('Reference Table'!$B$2:$B$46),0)),"Unknown"))</f>
        <v>Pat_Donut</v>
      </c>
      <c r="E498">
        <f>IF('Raw Data'!E498&lt;&gt;"",'Raw Data'!E498,IFERROR(INDEX('Reference Table'!$B$2:$B$32,MATCH(D498,'Reference Table'!$A$2:$A$32,0)),""))</f>
        <v>30</v>
      </c>
      <c r="F498">
        <f>IF('Raw Data'!F498&lt;&gt;"",'Raw Data'!F498,IFERROR(ROUND('Raw Data'!G498/E498,0),""))</f>
        <v>5</v>
      </c>
      <c r="G498">
        <f>IF('Raw Data'!G498&lt;&gt;"",'Raw Data'!G498,IFERROR(ROUND(E498*F498,2),""))</f>
        <v>150</v>
      </c>
      <c r="H498" t="str">
        <f>'Raw Data'!H498</f>
        <v>Cash</v>
      </c>
      <c r="I498" t="str">
        <f>IF('Raw Data'!D498="",IF(D498="Unknown","Could not recover","Filled from Price lookup"),IF(TRIM('Raw Data'!D498)&lt;&gt;'Raw Data'!D498,"Trimmed whitespace","OK"))</f>
        <v>OK</v>
      </c>
      <c r="J498" t="str">
        <f t="shared" si="7"/>
        <v>OK</v>
      </c>
    </row>
    <row r="499" spans="1:10">
      <c r="A499" t="str">
        <f>'Raw Data'!A499</f>
        <v>TXN_1525</v>
      </c>
      <c r="B499" s="1">
        <f>'Raw Data'!B499</f>
        <v>45826</v>
      </c>
      <c r="C499" t="str">
        <f>IFERROR(INDEX('Reference Table'!$C$2:$C$46,MATCH(D499,'Reference Table'!$A$2:$A$46,0)),"Unknown")</f>
        <v>Electric Accessories</v>
      </c>
      <c r="D499" t="str">
        <f t="array" ref="D499">IF(TRIM('Raw Data'!D499)&lt;&gt;"",TRIM('Raw Data'!D499),IFERROR(INDEX('Reference Table'!$A$2:$A$46,MATCH(VALUE('Raw Data'!E499),VALUE('Reference Table'!$B$2:$B$46),0)),"Unknown"))</f>
        <v>Elec_Earphones</v>
      </c>
      <c r="E499">
        <f>IF('Raw Data'!E499&lt;&gt;"",'Raw Data'!E499,IFERROR(INDEX('Reference Table'!$B$2:$B$32,MATCH(D499,'Reference Table'!$A$2:$A$32,0)),""))</f>
        <v>350</v>
      </c>
      <c r="F499">
        <f>IF('Raw Data'!F499&lt;&gt;"",'Raw Data'!F499,IFERROR(ROUND('Raw Data'!G499/E499,0),""))</f>
        <v>4</v>
      </c>
      <c r="G499">
        <f>IF('Raw Data'!G499&lt;&gt;"",'Raw Data'!G499,IFERROR(ROUND(E499*F499,2),""))</f>
        <v>1400</v>
      </c>
      <c r="H499" t="str">
        <f>'Raw Data'!H499</f>
        <v>Mobile Payment</v>
      </c>
      <c r="I499" t="str">
        <f>IF('Raw Data'!D499="",IF(D499="Unknown","Could not recover","Filled from Price lookup"),IF(TRIM('Raw Data'!D499)&lt;&gt;'Raw Data'!D499,"Trimmed whitespace","OK"))</f>
        <v>Filled from Price lookup</v>
      </c>
      <c r="J499" t="str">
        <f t="shared" si="7"/>
        <v>OK</v>
      </c>
    </row>
    <row r="500" spans="1:10">
      <c r="A500" t="str">
        <f>'Raw Data'!A500</f>
        <v>TXN_1165</v>
      </c>
      <c r="B500" s="1">
        <f>'Raw Data'!B500</f>
        <v>45800</v>
      </c>
      <c r="C500" t="str">
        <f>IFERROR(INDEX('Reference Table'!$C$2:$C$46,MATCH(D500,'Reference Table'!$A$2:$A$46,0)),"Unknown")</f>
        <v>Patisserie</v>
      </c>
      <c r="D500" t="str">
        <f t="array" ref="D500">IF(TRIM('Raw Data'!D500)&lt;&gt;"",TRIM('Raw Data'!D500),IFERROR(INDEX('Reference Table'!$A$2:$A$46,MATCH(VALUE('Raw Data'!E500),VALUE('Reference Table'!$B$2:$B$46),0)),"Unknown"))</f>
        <v>Pat_Croissant</v>
      </c>
      <c r="E500">
        <f>IF('Raw Data'!E500&lt;&gt;"",'Raw Data'!E500,IFERROR(INDEX('Reference Table'!$B$2:$B$32,MATCH(D500,'Reference Table'!$A$2:$A$32,0)),""))</f>
        <v>40</v>
      </c>
      <c r="F500">
        <f>IF('Raw Data'!F500&lt;&gt;"",'Raw Data'!F500,IFERROR(ROUND('Raw Data'!G500/E500,0),""))</f>
        <v>1</v>
      </c>
      <c r="G500">
        <f>IF('Raw Data'!G500&lt;&gt;"",'Raw Data'!G500,IFERROR(ROUND(E500*F500,2),""))</f>
        <v>40</v>
      </c>
      <c r="H500" t="str">
        <f>'Raw Data'!H500</f>
        <v>Mobile Payment</v>
      </c>
      <c r="I500" t="str">
        <f>IF('Raw Data'!D500="",IF(D500="Unknown","Could not recover","Filled from Price lookup"),IF(TRIM('Raw Data'!D500)&lt;&gt;'Raw Data'!D500,"Trimmed whitespace","OK"))</f>
        <v>OK</v>
      </c>
      <c r="J500" t="str">
        <f t="shared" si="7"/>
        <v>OK</v>
      </c>
    </row>
    <row r="501" spans="1:10">
      <c r="A501" t="str">
        <f>'Raw Data'!A501</f>
        <v>TXN_1137</v>
      </c>
      <c r="B501" s="1">
        <f>'Raw Data'!B501</f>
        <v>45811</v>
      </c>
      <c r="C501" t="str">
        <f>IFERROR(INDEX('Reference Table'!$C$2:$C$46,MATCH(D501,'Reference Table'!$A$2:$A$46,0)),"Unknown")</f>
        <v>Patisserie</v>
      </c>
      <c r="D501" t="str">
        <f t="array" ref="D501">IF(TRIM('Raw Data'!D501)&lt;&gt;"",TRIM('Raw Data'!D501),IFERROR(INDEX('Reference Table'!$A$2:$A$46,MATCH(VALUE('Raw Data'!E501),VALUE('Reference Table'!$B$2:$B$46),0)),"Unknown"))</f>
        <v>Pat_Cookie_Pack</v>
      </c>
      <c r="E501">
        <f>IF('Raw Data'!E501&lt;&gt;"",'Raw Data'!E501,IFERROR(INDEX('Reference Table'!$B$2:$B$32,MATCH(D501,'Reference Table'!$A$2:$A$32,0)),""))</f>
        <v>55</v>
      </c>
      <c r="F501">
        <f>IF('Raw Data'!F501&lt;&gt;"",'Raw Data'!F501,IFERROR(ROUND('Raw Data'!G501/E501,0),""))</f>
        <v>6</v>
      </c>
      <c r="G501">
        <f>IF('Raw Data'!G501&lt;&gt;"",'Raw Data'!G501,IFERROR(ROUND(E501*F501,2),""))</f>
        <v>330</v>
      </c>
      <c r="H501" t="str">
        <f>'Raw Data'!H501</f>
        <v>Cash</v>
      </c>
      <c r="I501" t="str">
        <f>IF('Raw Data'!D501="",IF(D501="Unknown","Could not recover","Filled from Price lookup"),IF(TRIM('Raw Data'!D501)&lt;&gt;'Raw Data'!D501,"Trimmed whitespace","OK"))</f>
        <v>OK</v>
      </c>
      <c r="J501" t="str">
        <f t="shared" si="7"/>
        <v>OK</v>
      </c>
    </row>
    <row r="502" spans="1:10">
      <c r="A502" t="str">
        <f>'Raw Data'!A502</f>
        <v>TXN_1530</v>
      </c>
      <c r="B502" s="1">
        <f>'Raw Data'!B502</f>
        <v>45678</v>
      </c>
      <c r="C502" t="str">
        <f>IFERROR(INDEX('Reference Table'!$C$2:$C$46,MATCH(D502,'Reference Table'!$A$2:$A$46,0)),"Unknown")</f>
        <v>Patisserie</v>
      </c>
      <c r="D502" t="str">
        <f t="array" ref="D502">IF(TRIM('Raw Data'!D502)&lt;&gt;"",TRIM('Raw Data'!D502),IFERROR(INDEX('Reference Table'!$A$2:$A$46,MATCH(VALUE('Raw Data'!E502),VALUE('Reference Table'!$B$2:$B$46),0)),"Unknown"))</f>
        <v>Pat_Donut</v>
      </c>
      <c r="E502">
        <f>IF('Raw Data'!E502&lt;&gt;"",'Raw Data'!E502,IFERROR(INDEX('Reference Table'!$B$2:$B$32,MATCH(D502,'Reference Table'!$A$2:$A$32,0)),""))</f>
        <v>30</v>
      </c>
      <c r="F502">
        <f>IF('Raw Data'!F502&lt;&gt;"",'Raw Data'!F502,IFERROR(ROUND('Raw Data'!G502/E502,0),""))</f>
        <v>4</v>
      </c>
      <c r="G502">
        <f>IF('Raw Data'!G502&lt;&gt;"",'Raw Data'!G502,IFERROR(ROUND(E502*F502,2),""))</f>
        <v>120</v>
      </c>
      <c r="H502" t="str">
        <f>'Raw Data'!H502</f>
        <v>Debit Card</v>
      </c>
      <c r="I502" t="str">
        <f>IF('Raw Data'!D502="",IF(D502="Unknown","Could not recover","Filled from Price lookup"),IF(TRIM('Raw Data'!D502)&lt;&gt;'Raw Data'!D502,"Trimmed whitespace","OK"))</f>
        <v>OK</v>
      </c>
      <c r="J502" t="str">
        <f t="shared" si="7"/>
        <v>OK</v>
      </c>
    </row>
    <row r="503" spans="1:10">
      <c r="A503" t="str">
        <f>'Raw Data'!A503</f>
        <v>TXN_1108</v>
      </c>
      <c r="B503" s="1">
        <f>'Raw Data'!B503</f>
        <v>45692</v>
      </c>
      <c r="C503" t="str">
        <f>IFERROR(INDEX('Reference Table'!$C$2:$C$46,MATCH(D503,'Reference Table'!$A$2:$A$46,0)),"Unknown")</f>
        <v>Food</v>
      </c>
      <c r="D503" t="str">
        <f t="array" ref="D503">IF(TRIM('Raw Data'!D503)&lt;&gt;"",TRIM('Raw Data'!D503),IFERROR(INDEX('Reference Table'!$A$2:$A$46,MATCH(VALUE('Raw Data'!E503),VALUE('Reference Table'!$B$2:$B$46),0)),"Unknown"))</f>
        <v>Food_Pasta_500g</v>
      </c>
      <c r="E503">
        <f>IF('Raw Data'!E503&lt;&gt;"",'Raw Data'!E503,IFERROR(INDEX('Reference Table'!$B$2:$B$32,MATCH(D503,'Reference Table'!$A$2:$A$32,0)),""))</f>
        <v>65</v>
      </c>
      <c r="F503">
        <f>IF('Raw Data'!F503&lt;&gt;"",'Raw Data'!F503,IFERROR(ROUND('Raw Data'!G503/E503,0),""))</f>
        <v>4</v>
      </c>
      <c r="G503">
        <f>IF('Raw Data'!G503&lt;&gt;"",'Raw Data'!G503,IFERROR(ROUND(E503*F503,2),""))</f>
        <v>260</v>
      </c>
      <c r="H503" t="str">
        <f>'Raw Data'!H503</f>
        <v>Mobile Payment</v>
      </c>
      <c r="I503" t="str">
        <f>IF('Raw Data'!D503="",IF(D503="Unknown","Could not recover","Filled from Price lookup"),IF(TRIM('Raw Data'!D503)&lt;&gt;'Raw Data'!D503,"Trimmed whitespace","OK"))</f>
        <v>OK</v>
      </c>
      <c r="J503" t="str">
        <f t="shared" si="7"/>
        <v>OK</v>
      </c>
    </row>
    <row r="504" spans="1:10">
      <c r="A504" t="str">
        <f>'Raw Data'!A504</f>
        <v>TXN_1422</v>
      </c>
      <c r="B504" s="1">
        <f>'Raw Data'!B504</f>
        <v>45708</v>
      </c>
      <c r="C504" t="str">
        <f>IFERROR(INDEX('Reference Table'!$C$2:$C$46,MATCH(D504,'Reference Table'!$A$2:$A$46,0)),"Unknown")</f>
        <v>Butchers</v>
      </c>
      <c r="D504" t="str">
        <f t="array" ref="D504">IF(TRIM('Raw Data'!D504)&lt;&gt;"",TRIM('Raw Data'!D504),IFERROR(INDEX('Reference Table'!$A$2:$A$46,MATCH(VALUE('Raw Data'!E504),VALUE('Reference Table'!$B$2:$B$46),0)),"Unknown"))</f>
        <v>Meat_Eggs_Dozen</v>
      </c>
      <c r="E504">
        <f>IF('Raw Data'!E504&lt;&gt;"",'Raw Data'!E504,IFERROR(INDEX('Reference Table'!$B$2:$B$32,MATCH(D504,'Reference Table'!$A$2:$A$32,0)),""))</f>
        <v>75</v>
      </c>
      <c r="F504">
        <f>IF('Raw Data'!F504&lt;&gt;"",'Raw Data'!F504,IFERROR(ROUND('Raw Data'!G504/E504,0),""))</f>
        <v>2</v>
      </c>
      <c r="G504">
        <f>IF('Raw Data'!G504&lt;&gt;"",'Raw Data'!G504,IFERROR(ROUND(E504*F504,2),""))</f>
        <v>150</v>
      </c>
      <c r="H504" t="str">
        <f>'Raw Data'!H504</f>
        <v>Mobile Payment</v>
      </c>
      <c r="I504" t="str">
        <f>IF('Raw Data'!D504="",IF(D504="Unknown","Could not recover","Filled from Price lookup"),IF(TRIM('Raw Data'!D504)&lt;&gt;'Raw Data'!D504,"Trimmed whitespace","OK"))</f>
        <v>OK</v>
      </c>
      <c r="J504" t="str">
        <f t="shared" si="7"/>
        <v>OK</v>
      </c>
    </row>
    <row r="505" spans="1:10">
      <c r="A505" t="str">
        <f>'Raw Data'!A505</f>
        <v>TXN_1219</v>
      </c>
      <c r="B505" s="1">
        <f>'Raw Data'!B505</f>
        <v>45723</v>
      </c>
      <c r="C505" t="str">
        <f>IFERROR(INDEX('Reference Table'!$C$2:$C$46,MATCH(D505,'Reference Table'!$A$2:$A$46,0)),"Unknown")</f>
        <v>Patisserie</v>
      </c>
      <c r="D505" t="str">
        <f t="array" ref="D505">IF(TRIM('Raw Data'!D505)&lt;&gt;"",TRIM('Raw Data'!D505),IFERROR(INDEX('Reference Table'!$A$2:$A$46,MATCH(VALUE('Raw Data'!E505),VALUE('Reference Table'!$B$2:$B$46),0)),"Unknown"))</f>
        <v>Pat_Muffin</v>
      </c>
      <c r="E505">
        <f>IF('Raw Data'!E505&lt;&gt;"",'Raw Data'!E505,IFERROR(INDEX('Reference Table'!$B$2:$B$32,MATCH(D505,'Reference Table'!$A$2:$A$32,0)),""))</f>
        <v>35</v>
      </c>
      <c r="F505">
        <f>IF('Raw Data'!F505&lt;&gt;"",'Raw Data'!F505,IFERROR(ROUND('Raw Data'!G505/E505,0),""))</f>
        <v>4</v>
      </c>
      <c r="G505">
        <f>IF('Raw Data'!G505&lt;&gt;"",'Raw Data'!G505,IFERROR(ROUND(E505*F505,2),""))</f>
        <v>140</v>
      </c>
      <c r="H505" t="str">
        <f>'Raw Data'!H505</f>
        <v>Cash</v>
      </c>
      <c r="I505" t="str">
        <f>IF('Raw Data'!D505="",IF(D505="Unknown","Could not recover","Filled from Price lookup"),IF(TRIM('Raw Data'!D505)&lt;&gt;'Raw Data'!D505,"Trimmed whitespace","OK"))</f>
        <v>OK</v>
      </c>
      <c r="J505" t="str">
        <f t="shared" si="7"/>
        <v>OK</v>
      </c>
    </row>
    <row r="506" spans="1:10">
      <c r="A506" t="str">
        <f>'Raw Data'!A506</f>
        <v>TXN_1495</v>
      </c>
      <c r="B506" s="1">
        <f>'Raw Data'!B506</f>
        <v>45735</v>
      </c>
      <c r="C506" t="str">
        <f>IFERROR(INDEX('Reference Table'!$C$2:$C$46,MATCH(D506,'Reference Table'!$A$2:$A$46,0)),"Unknown")</f>
        <v>Butchers</v>
      </c>
      <c r="D506" t="str">
        <f t="array" ref="D506">IF(TRIM('Raw Data'!D506)&lt;&gt;"",TRIM('Raw Data'!D506),IFERROR(INDEX('Reference Table'!$A$2:$A$46,MATCH(VALUE('Raw Data'!E506),VALUE('Reference Table'!$B$2:$B$46),0)),"Unknown"))</f>
        <v>Meat_Chicken_1kg</v>
      </c>
      <c r="E506">
        <f>IF('Raw Data'!E506&lt;&gt;"",'Raw Data'!E506,IFERROR(INDEX('Reference Table'!$B$2:$B$32,MATCH(D506,'Reference Table'!$A$2:$A$32,0)),""))</f>
        <v>220</v>
      </c>
      <c r="F506">
        <f>IF('Raw Data'!F506&lt;&gt;"",'Raw Data'!F506,IFERROR(ROUND('Raw Data'!G506/E506,0),""))</f>
        <v>2</v>
      </c>
      <c r="G506">
        <f>IF('Raw Data'!G506&lt;&gt;"",'Raw Data'!G506,IFERROR(ROUND(E506*F506,2),""))</f>
        <v>440</v>
      </c>
      <c r="H506" t="str">
        <f>'Raw Data'!H506</f>
        <v>Credit Card</v>
      </c>
      <c r="I506" t="str">
        <f>IF('Raw Data'!D506="",IF(D506="Unknown","Could not recover","Filled from Price lookup"),IF(TRIM('Raw Data'!D506)&lt;&gt;'Raw Data'!D506,"Trimmed whitespace","OK"))</f>
        <v>OK</v>
      </c>
      <c r="J506" t="str">
        <f t="shared" si="7"/>
        <v>OK</v>
      </c>
    </row>
    <row r="507" spans="1:10">
      <c r="A507" t="str">
        <f>'Raw Data'!A507</f>
        <v>TXN_1111</v>
      </c>
      <c r="B507" s="1">
        <f>'Raw Data'!B507</f>
        <v>45724</v>
      </c>
      <c r="C507" t="str">
        <f>IFERROR(INDEX('Reference Table'!$C$2:$C$46,MATCH(D507,'Reference Table'!$A$2:$A$46,0)),"Unknown")</f>
        <v>Computers</v>
      </c>
      <c r="D507" t="str">
        <f t="array" ref="D507">IF(TRIM('Raw Data'!D507)&lt;&gt;"",TRIM('Raw Data'!D507),IFERROR(INDEX('Reference Table'!$A$2:$A$46,MATCH(VALUE('Raw Data'!E507),VALUE('Reference Table'!$B$2:$B$46),0)),"Unknown"))</f>
        <v>Comp_Mouse</v>
      </c>
      <c r="E507">
        <f>IF('Raw Data'!E507&lt;&gt;"",'Raw Data'!E507,IFERROR(INDEX('Reference Table'!$B$2:$B$32,MATCH(D507,'Reference Table'!$A$2:$A$32,0)),""))</f>
        <v>500</v>
      </c>
      <c r="F507">
        <f>IF('Raw Data'!F507&lt;&gt;"",'Raw Data'!F507,IFERROR(ROUND('Raw Data'!G507/E507,0),""))</f>
        <v>4</v>
      </c>
      <c r="G507">
        <f>IF('Raw Data'!G507&lt;&gt;"",'Raw Data'!G507,IFERROR(ROUND(E507*F507,2),""))</f>
        <v>2000</v>
      </c>
      <c r="H507" t="str">
        <f>'Raw Data'!H507</f>
        <v>Credit Card</v>
      </c>
      <c r="I507" t="str">
        <f>IF('Raw Data'!D507="",IF(D507="Unknown","Could not recover","Filled from Price lookup"),IF(TRIM('Raw Data'!D507)&lt;&gt;'Raw Data'!D507,"Trimmed whitespace","OK"))</f>
        <v>OK</v>
      </c>
      <c r="J507" t="str">
        <f t="shared" si="7"/>
        <v>OK</v>
      </c>
    </row>
    <row r="508" spans="1:10">
      <c r="A508" t="str">
        <f>'Raw Data'!A508</f>
        <v>TXN_1203</v>
      </c>
      <c r="B508" s="1">
        <f>'Raw Data'!B508</f>
        <v>45756</v>
      </c>
      <c r="C508" t="str">
        <f>IFERROR(INDEX('Reference Table'!$C$2:$C$46,MATCH(D508,'Reference Table'!$A$2:$A$46,0)),"Unknown")</f>
        <v>Patisserie</v>
      </c>
      <c r="D508" t="str">
        <f t="array" ref="D508">IF(TRIM('Raw Data'!D508)&lt;&gt;"",TRIM('Raw Data'!D508),IFERROR(INDEX('Reference Table'!$A$2:$A$46,MATCH(VALUE('Raw Data'!E508),VALUE('Reference Table'!$B$2:$B$46),0)),"Unknown"))</f>
        <v>Pat_Croissant</v>
      </c>
      <c r="E508">
        <f>IF('Raw Data'!E508&lt;&gt;"",'Raw Data'!E508,IFERROR(INDEX('Reference Table'!$B$2:$B$32,MATCH(D508,'Reference Table'!$A$2:$A$32,0)),""))</f>
        <v>40</v>
      </c>
      <c r="F508">
        <f>IF('Raw Data'!F508&lt;&gt;"",'Raw Data'!F508,IFERROR(ROUND('Raw Data'!G508/E508,0),""))</f>
        <v>5</v>
      </c>
      <c r="G508">
        <f>IF('Raw Data'!G508&lt;&gt;"",'Raw Data'!G508,IFERROR(ROUND(E508*F508,2),""))</f>
        <v>200</v>
      </c>
      <c r="H508" t="str">
        <f>'Raw Data'!H508</f>
        <v>Credit Card</v>
      </c>
      <c r="I508" t="str">
        <f>IF('Raw Data'!D508="",IF(D508="Unknown","Could not recover","Filled from Price lookup"),IF(TRIM('Raw Data'!D508)&lt;&gt;'Raw Data'!D508,"Trimmed whitespace","OK"))</f>
        <v>OK</v>
      </c>
      <c r="J508" t="str">
        <f t="shared" si="7"/>
        <v>OK</v>
      </c>
    </row>
    <row r="509" spans="1:10">
      <c r="A509" t="str">
        <f>'Raw Data'!A509</f>
        <v>TXN_1542</v>
      </c>
      <c r="B509" s="1">
        <f>'Raw Data'!B509</f>
        <v>45843</v>
      </c>
      <c r="C509" t="str">
        <f>IFERROR(INDEX('Reference Table'!$C$2:$C$46,MATCH(D509,'Reference Table'!$A$2:$A$46,0)),"Unknown")</f>
        <v>Food</v>
      </c>
      <c r="D509" t="str">
        <f t="array" ref="D509">IF(TRIM('Raw Data'!D509)&lt;&gt;"",TRIM('Raw Data'!D509),IFERROR(INDEX('Reference Table'!$A$2:$A$46,MATCH(VALUE('Raw Data'!E509),VALUE('Reference Table'!$B$2:$B$46),0)),"Unknown"))</f>
        <v>Food_Cereal_500g</v>
      </c>
      <c r="E509">
        <f>IF('Raw Data'!E509&lt;&gt;"",'Raw Data'!E509,IFERROR(INDEX('Reference Table'!$B$2:$B$32,MATCH(D509,'Reference Table'!$A$2:$A$32,0)),""))</f>
        <v>150</v>
      </c>
      <c r="F509">
        <f>IF('Raw Data'!F509&lt;&gt;"",'Raw Data'!F509,IFERROR(ROUND('Raw Data'!G509/E509,0),""))</f>
        <v>6</v>
      </c>
      <c r="G509">
        <f>IF('Raw Data'!G509&lt;&gt;"",'Raw Data'!G509,IFERROR(ROUND(E509*F509,2),""))</f>
        <v>900</v>
      </c>
      <c r="H509" t="str">
        <f>'Raw Data'!H509</f>
        <v>Cash</v>
      </c>
      <c r="I509" t="str">
        <f>IF('Raw Data'!D509="",IF(D509="Unknown","Could not recover","Filled from Price lookup"),IF(TRIM('Raw Data'!D509)&lt;&gt;'Raw Data'!D509,"Trimmed whitespace","OK"))</f>
        <v>OK</v>
      </c>
      <c r="J509" t="str">
        <f t="shared" si="7"/>
        <v>OK</v>
      </c>
    </row>
    <row r="510" spans="1:10">
      <c r="A510" t="str">
        <f>'Raw Data'!A510</f>
        <v>TXN_1407</v>
      </c>
      <c r="B510" s="1">
        <f>'Raw Data'!B510</f>
        <v>45789</v>
      </c>
      <c r="C510" t="str">
        <f>IFERROR(INDEX('Reference Table'!$C$2:$C$46,MATCH(D510,'Reference Table'!$A$2:$A$46,0)),"Unknown")</f>
        <v>Food</v>
      </c>
      <c r="D510" t="str">
        <f t="array" ref="D510">IF(TRIM('Raw Data'!D510)&lt;&gt;"",TRIM('Raw Data'!D510),IFERROR(INDEX('Reference Table'!$A$2:$A$46,MATCH(VALUE('Raw Data'!E510),VALUE('Reference Table'!$B$2:$B$46),0)),"Unknown"))</f>
        <v>Food_Cereal_500g</v>
      </c>
      <c r="E510">
        <f>IF('Raw Data'!E510&lt;&gt;"",'Raw Data'!E510,IFERROR(INDEX('Reference Table'!$B$2:$B$32,MATCH(D510,'Reference Table'!$A$2:$A$32,0)),""))</f>
        <v>150</v>
      </c>
      <c r="F510">
        <f>IF('Raw Data'!F510&lt;&gt;"",'Raw Data'!F510,IFERROR(ROUND('Raw Data'!G510/E510,0),""))</f>
        <v>3</v>
      </c>
      <c r="G510">
        <f>IF('Raw Data'!G510&lt;&gt;"",'Raw Data'!G510,IFERROR(ROUND(E510*F510,2),""))</f>
        <v>450</v>
      </c>
      <c r="H510" t="str">
        <f>'Raw Data'!H510</f>
        <v>Cash</v>
      </c>
      <c r="I510" t="str">
        <f>IF('Raw Data'!D510="",IF(D510="Unknown","Could not recover","Filled from Price lookup"),IF(TRIM('Raw Data'!D510)&lt;&gt;'Raw Data'!D510,"Trimmed whitespace","OK"))</f>
        <v>OK</v>
      </c>
      <c r="J510" t="str">
        <f t="shared" si="7"/>
        <v>OK</v>
      </c>
    </row>
    <row r="511" spans="1:10">
      <c r="A511" t="str">
        <f>'Raw Data'!A511</f>
        <v>TXN_1032</v>
      </c>
      <c r="B511" s="1">
        <f>'Raw Data'!B511</f>
        <v>45857</v>
      </c>
      <c r="C511" t="str">
        <f>IFERROR(INDEX('Reference Table'!$C$2:$C$46,MATCH(D511,'Reference Table'!$A$2:$A$46,0)),"Unknown")</f>
        <v>Milk Products</v>
      </c>
      <c r="D511" t="str">
        <f t="array" ref="D511">IF(TRIM('Raw Data'!D511)&lt;&gt;"",TRIM('Raw Data'!D511),IFERROR(INDEX('Reference Table'!$A$2:$A$46,MATCH(VALUE('Raw Data'!E511),VALUE('Reference Table'!$B$2:$B$46),0)),"Unknown"))</f>
        <v>Milk_Cheese_200g</v>
      </c>
      <c r="E511">
        <f>IF('Raw Data'!E511&lt;&gt;"",'Raw Data'!E511,IFERROR(INDEX('Reference Table'!$B$2:$B$32,MATCH(D511,'Reference Table'!$A$2:$A$32,0)),""))</f>
        <v>110</v>
      </c>
      <c r="F511">
        <f>IF('Raw Data'!F511&lt;&gt;"",'Raw Data'!F511,IFERROR(ROUND('Raw Data'!G511/E511,0),""))</f>
        <v>5</v>
      </c>
      <c r="G511">
        <f>IF('Raw Data'!G511&lt;&gt;"",'Raw Data'!G511,IFERROR(ROUND(E511*F511,2),""))</f>
        <v>550</v>
      </c>
      <c r="H511" t="str">
        <f>'Raw Data'!H511</f>
        <v>Cash</v>
      </c>
      <c r="I511" t="str">
        <f>IF('Raw Data'!D511="",IF(D511="Unknown","Could not recover","Filled from Price lookup"),IF(TRIM('Raw Data'!D511)&lt;&gt;'Raw Data'!D511,"Trimmed whitespace","OK"))</f>
        <v>OK</v>
      </c>
      <c r="J511" t="str">
        <f t="shared" si="7"/>
        <v>OK</v>
      </c>
    </row>
    <row r="512" spans="1:10">
      <c r="A512" t="str">
        <f>'Raw Data'!A512</f>
        <v>TXN_1569</v>
      </c>
      <c r="B512" s="1">
        <f>'Raw Data'!B512</f>
        <v>45832</v>
      </c>
      <c r="C512" t="str">
        <f>IFERROR(INDEX('Reference Table'!$C$2:$C$46,MATCH(D512,'Reference Table'!$A$2:$A$46,0)),"Unknown")</f>
        <v>Computers</v>
      </c>
      <c r="D512" t="str">
        <f t="array" ref="D512">IF(TRIM('Raw Data'!D512)&lt;&gt;"",TRIM('Raw Data'!D512),IFERROR(INDEX('Reference Table'!$A$2:$A$46,MATCH(VALUE('Raw Data'!E512),VALUE('Reference Table'!$B$2:$B$46),0)),"Unknown"))</f>
        <v>Comp_Webcam</v>
      </c>
      <c r="E512">
        <f>IF('Raw Data'!E512&lt;&gt;"",'Raw Data'!E512,IFERROR(INDEX('Reference Table'!$B$2:$B$32,MATCH(D512,'Reference Table'!$A$2:$A$32,0)),""))</f>
        <v>1200</v>
      </c>
      <c r="F512">
        <f>IF('Raw Data'!F512&lt;&gt;"",'Raw Data'!F512,IFERROR(ROUND('Raw Data'!G512/E512,0),""))</f>
        <v>2</v>
      </c>
      <c r="G512">
        <f>IF('Raw Data'!G512&lt;&gt;"",'Raw Data'!G512,IFERROR(ROUND(E512*F512,2),""))</f>
        <v>2400</v>
      </c>
      <c r="H512" t="str">
        <f>'Raw Data'!H512</f>
        <v>Cash</v>
      </c>
      <c r="I512" t="str">
        <f>IF('Raw Data'!D512="",IF(D512="Unknown","Could not recover","Filled from Price lookup"),IF(TRIM('Raw Data'!D512)&lt;&gt;'Raw Data'!D512,"Trimmed whitespace","OK"))</f>
        <v>OK</v>
      </c>
      <c r="J512" t="str">
        <f t="shared" si="7"/>
        <v>OK</v>
      </c>
    </row>
    <row r="513" spans="1:10">
      <c r="A513" t="str">
        <f>'Raw Data'!A513</f>
        <v>TXN_1366</v>
      </c>
      <c r="B513" s="1">
        <f>'Raw Data'!B513</f>
        <v>45812</v>
      </c>
      <c r="C513" t="str">
        <f>IFERROR(INDEX('Reference Table'!$C$2:$C$46,MATCH(D513,'Reference Table'!$A$2:$A$46,0)),"Unknown")</f>
        <v>Food</v>
      </c>
      <c r="D513" t="str">
        <f t="array" ref="D513">IF(TRIM('Raw Data'!D513)&lt;&gt;"",TRIM('Raw Data'!D513),IFERROR(INDEX('Reference Table'!$A$2:$A$46,MATCH(VALUE('Raw Data'!E513),VALUE('Reference Table'!$B$2:$B$46),0)),"Unknown"))</f>
        <v>Food_Rice_1kg</v>
      </c>
      <c r="E513">
        <f>IF('Raw Data'!E513&lt;&gt;"",'Raw Data'!E513,IFERROR(INDEX('Reference Table'!$B$2:$B$32,MATCH(D513,'Reference Table'!$A$2:$A$32,0)),""))</f>
        <v>70</v>
      </c>
      <c r="F513">
        <f>IF('Raw Data'!F513&lt;&gt;"",'Raw Data'!F513,IFERROR(ROUND('Raw Data'!G513/E513,0),""))</f>
        <v>4</v>
      </c>
      <c r="G513">
        <f>IF('Raw Data'!G513&lt;&gt;"",'Raw Data'!G513,IFERROR(ROUND(E513*F513,2),""))</f>
        <v>280</v>
      </c>
      <c r="H513" t="str">
        <f>'Raw Data'!H513</f>
        <v>Credit Card</v>
      </c>
      <c r="I513" t="str">
        <f>IF('Raw Data'!D513="",IF(D513="Unknown","Could not recover","Filled from Price lookup"),IF(TRIM('Raw Data'!D513)&lt;&gt;'Raw Data'!D513,"Trimmed whitespace","OK"))</f>
        <v>OK</v>
      </c>
      <c r="J513" t="str">
        <f t="shared" si="7"/>
        <v>OK</v>
      </c>
    </row>
    <row r="514" spans="1:10">
      <c r="A514" t="str">
        <f>'Raw Data'!A514</f>
        <v>TXN_1469</v>
      </c>
      <c r="B514" s="1">
        <f>'Raw Data'!B514</f>
        <v>45692</v>
      </c>
      <c r="C514" t="str">
        <f>IFERROR(INDEX('Reference Table'!$C$2:$C$46,MATCH(D514,'Reference Table'!$A$2:$A$46,0)),"Unknown")</f>
        <v>Milk Products</v>
      </c>
      <c r="D514" t="str">
        <f t="array" ref="D514">IF(TRIM('Raw Data'!D514)&lt;&gt;"",TRIM('Raw Data'!D514),IFERROR(INDEX('Reference Table'!$A$2:$A$46,MATCH(VALUE('Raw Data'!E514),VALUE('Reference Table'!$B$2:$B$46),0)),"Unknown"))</f>
        <v>Milk_Ghee_500ml</v>
      </c>
      <c r="E514" t="str">
        <f>IF('Raw Data'!E514&lt;&gt;"",'Raw Data'!E514,IFERROR(INDEX('Reference Table'!$B$2:$B$32,MATCH(D514,'Reference Table'!$A$2:$A$32,0)),""))</f>
        <v/>
      </c>
      <c r="F514">
        <f>IF('Raw Data'!F514&lt;&gt;"",'Raw Data'!F514,IFERROR(ROUND('Raw Data'!G514/E514,0),""))</f>
        <v>2</v>
      </c>
      <c r="G514">
        <f>IF('Raw Data'!G514&lt;&gt;"",'Raw Data'!G514,IFERROR(ROUND(E514*F514,2),""))</f>
        <v>700</v>
      </c>
      <c r="H514" t="str">
        <f>'Raw Data'!H514</f>
        <v>Mobile Payment</v>
      </c>
      <c r="I514" t="str">
        <f>IF('Raw Data'!D514="",IF(D514="Unknown","Could not recover","Filled from Price lookup"),IF(TRIM('Raw Data'!D514)&lt;&gt;'Raw Data'!D514,"Trimmed whitespace","OK"))</f>
        <v>OK</v>
      </c>
      <c r="J514" t="str">
        <f t="shared" si="7"/>
        <v>Incomplete</v>
      </c>
    </row>
    <row r="515" spans="1:10">
      <c r="A515" t="str">
        <f>'Raw Data'!A515</f>
        <v>TXN_1521</v>
      </c>
      <c r="B515" s="1">
        <f>'Raw Data'!B515</f>
        <v>45673</v>
      </c>
      <c r="C515" t="str">
        <f>IFERROR(INDEX('Reference Table'!$C$2:$C$46,MATCH(D515,'Reference Table'!$A$2:$A$46,0)),"Unknown")</f>
        <v>Computers</v>
      </c>
      <c r="D515" t="str">
        <f t="array" ref="D515">IF(TRIM('Raw Data'!D515)&lt;&gt;"",TRIM('Raw Data'!D515),IFERROR(INDEX('Reference Table'!$A$2:$A$46,MATCH(VALUE('Raw Data'!E515),VALUE('Reference Table'!$B$2:$B$46),0)),"Unknown"))</f>
        <v>Comp_Webcam</v>
      </c>
      <c r="E515">
        <f>IF('Raw Data'!E515&lt;&gt;"",'Raw Data'!E515,IFERROR(INDEX('Reference Table'!$B$2:$B$32,MATCH(D515,'Reference Table'!$A$2:$A$32,0)),""))</f>
        <v>1200</v>
      </c>
      <c r="F515">
        <f>IF('Raw Data'!F515&lt;&gt;"",'Raw Data'!F515,IFERROR(ROUND('Raw Data'!G515/E515,0),""))</f>
        <v>6</v>
      </c>
      <c r="G515">
        <f>IF('Raw Data'!G515&lt;&gt;"",'Raw Data'!G515,IFERROR(ROUND(E515*F515,2),""))</f>
        <v>7200</v>
      </c>
      <c r="H515" t="str">
        <f>'Raw Data'!H515</f>
        <v>Cash</v>
      </c>
      <c r="I515" t="str">
        <f>IF('Raw Data'!D515="",IF(D515="Unknown","Could not recover","Filled from Price lookup"),IF(TRIM('Raw Data'!D515)&lt;&gt;'Raw Data'!D515,"Trimmed whitespace","OK"))</f>
        <v>OK</v>
      </c>
      <c r="J515" t="str">
        <f t="shared" ref="J515:J578" si="8">IF(AND(E515&lt;&gt;"",F515&lt;&gt;"",G515&lt;&gt;""),IF(ROUND(E515*F515,2)=ROUND(G515,2),"OK","Mismatch"),"Incomplete")</f>
        <v>OK</v>
      </c>
    </row>
    <row r="516" spans="1:10">
      <c r="A516" t="str">
        <f>'Raw Data'!A516</f>
        <v>TXN_1002</v>
      </c>
      <c r="B516" s="1">
        <f>'Raw Data'!B516</f>
        <v>45681</v>
      </c>
      <c r="C516" t="str">
        <f>IFERROR(INDEX('Reference Table'!$C$2:$C$46,MATCH(D516,'Reference Table'!$A$2:$A$46,0)),"Unknown")</f>
        <v>Beverages</v>
      </c>
      <c r="D516" t="str">
        <f t="array" ref="D516">IF(TRIM('Raw Data'!D516)&lt;&gt;"",TRIM('Raw Data'!D516),IFERROR(INDEX('Reference Table'!$A$2:$A$46,MATCH(VALUE('Raw Data'!E516),VALUE('Reference Table'!$B$2:$B$46),0)),"Unknown"))</f>
        <v>Bev_Water_1L</v>
      </c>
      <c r="E516">
        <f>IF('Raw Data'!E516&lt;&gt;"",'Raw Data'!E516,IFERROR(INDEX('Reference Table'!$B$2:$B$32,MATCH(D516,'Reference Table'!$A$2:$A$32,0)),""))</f>
        <v>20</v>
      </c>
      <c r="F516">
        <f>IF('Raw Data'!F516&lt;&gt;"",'Raw Data'!F516,IFERROR(ROUND('Raw Data'!G516/E516,0),""))</f>
        <v>1</v>
      </c>
      <c r="G516">
        <f>IF('Raw Data'!G516&lt;&gt;"",'Raw Data'!G516,IFERROR(ROUND(E516*F516,2),""))</f>
        <v>20</v>
      </c>
      <c r="H516" t="str">
        <f>'Raw Data'!H516</f>
        <v>Credit Card</v>
      </c>
      <c r="I516" t="str">
        <f>IF('Raw Data'!D516="",IF(D516="Unknown","Could not recover","Filled from Price lookup"),IF(TRIM('Raw Data'!D516)&lt;&gt;'Raw Data'!D516,"Trimmed whitespace","OK"))</f>
        <v>OK</v>
      </c>
      <c r="J516" t="str">
        <f t="shared" si="8"/>
        <v>OK</v>
      </c>
    </row>
    <row r="517" spans="1:10">
      <c r="A517" t="str">
        <f>'Raw Data'!A517</f>
        <v>TXN_1335</v>
      </c>
      <c r="B517" s="1">
        <f>'Raw Data'!B517</f>
        <v>45730</v>
      </c>
      <c r="C517" t="str">
        <f>IFERROR(INDEX('Reference Table'!$C$2:$C$46,MATCH(D517,'Reference Table'!$A$2:$A$46,0)),"Unknown")</f>
        <v>Computers</v>
      </c>
      <c r="D517" t="str">
        <f t="array" ref="D517">IF(TRIM('Raw Data'!D517)&lt;&gt;"",TRIM('Raw Data'!D517),IFERROR(INDEX('Reference Table'!$A$2:$A$46,MATCH(VALUE('Raw Data'!E517),VALUE('Reference Table'!$B$2:$B$46),0)),"Unknown"))</f>
        <v>Comp_HDMI_Cable</v>
      </c>
      <c r="E517">
        <f>IF('Raw Data'!E517&lt;&gt;"",'Raw Data'!E517,IFERROR(INDEX('Reference Table'!$B$2:$B$32,MATCH(D517,'Reference Table'!$A$2:$A$32,0)),""))</f>
        <v>300</v>
      </c>
      <c r="F517">
        <f>IF('Raw Data'!F517&lt;&gt;"",'Raw Data'!F517,IFERROR(ROUND('Raw Data'!G517/E517,0),""))</f>
        <v>1</v>
      </c>
      <c r="G517">
        <f>IF('Raw Data'!G517&lt;&gt;"",'Raw Data'!G517,IFERROR(ROUND(E517*F517,2),""))</f>
        <v>300</v>
      </c>
      <c r="H517" t="str">
        <f>'Raw Data'!H517</f>
        <v>Cash</v>
      </c>
      <c r="I517" t="str">
        <f>IF('Raw Data'!D517="",IF(D517="Unknown","Could not recover","Filled from Price lookup"),IF(TRIM('Raw Data'!D517)&lt;&gt;'Raw Data'!D517,"Trimmed whitespace","OK"))</f>
        <v>OK</v>
      </c>
      <c r="J517" t="str">
        <f t="shared" si="8"/>
        <v>OK</v>
      </c>
    </row>
    <row r="518" spans="1:10">
      <c r="A518" t="str">
        <f>'Raw Data'!A518</f>
        <v>TXN_1499</v>
      </c>
      <c r="B518" s="1">
        <f>'Raw Data'!B518</f>
        <v>45739</v>
      </c>
      <c r="C518" t="str">
        <f>IFERROR(INDEX('Reference Table'!$C$2:$C$46,MATCH(D518,'Reference Table'!$A$2:$A$46,0)),"Unknown")</f>
        <v>Butchers</v>
      </c>
      <c r="D518" t="str">
        <f t="array" ref="D518">IF(TRIM('Raw Data'!D518)&lt;&gt;"",TRIM('Raw Data'!D518),IFERROR(INDEX('Reference Table'!$A$2:$A$46,MATCH(VALUE('Raw Data'!E518),VALUE('Reference Table'!$B$2:$B$46),0)),"Unknown"))</f>
        <v>Meat_Bacon_250g</v>
      </c>
      <c r="E518">
        <f>IF('Raw Data'!E518&lt;&gt;"",'Raw Data'!E518,IFERROR(INDEX('Reference Table'!$B$2:$B$32,MATCH(D518,'Reference Table'!$A$2:$A$32,0)),""))</f>
        <v>190</v>
      </c>
      <c r="F518">
        <f>IF('Raw Data'!F518&lt;&gt;"",'Raw Data'!F518,IFERROR(ROUND('Raw Data'!G518/E518,0),""))</f>
        <v>5</v>
      </c>
      <c r="G518">
        <f>IF('Raw Data'!G518&lt;&gt;"",'Raw Data'!G518,IFERROR(ROUND(E518*F518,2),""))</f>
        <v>950</v>
      </c>
      <c r="H518" t="str">
        <f>'Raw Data'!H518</f>
        <v>Mobile Payment</v>
      </c>
      <c r="I518" t="str">
        <f>IF('Raw Data'!D518="",IF(D518="Unknown","Could not recover","Filled from Price lookup"),IF(TRIM('Raw Data'!D518)&lt;&gt;'Raw Data'!D518,"Trimmed whitespace","OK"))</f>
        <v>OK</v>
      </c>
      <c r="J518" t="str">
        <f t="shared" si="8"/>
        <v>OK</v>
      </c>
    </row>
    <row r="519" spans="1:10">
      <c r="A519" t="str">
        <f>'Raw Data'!A519</f>
        <v>TXN_1465</v>
      </c>
      <c r="B519" s="1">
        <f>'Raw Data'!B519</f>
        <v>45735</v>
      </c>
      <c r="C519" t="str">
        <f>IFERROR(INDEX('Reference Table'!$C$2:$C$46,MATCH(D519,'Reference Table'!$A$2:$A$46,0)),"Unknown")</f>
        <v>Patisserie</v>
      </c>
      <c r="D519" t="str">
        <f t="array" ref="D519">IF(TRIM('Raw Data'!D519)&lt;&gt;"",TRIM('Raw Data'!D519),IFERROR(INDEX('Reference Table'!$A$2:$A$46,MATCH(VALUE('Raw Data'!E519),VALUE('Reference Table'!$B$2:$B$46),0)),"Unknown"))</f>
        <v>Pat_Donut</v>
      </c>
      <c r="E519">
        <f>IF('Raw Data'!E519&lt;&gt;"",'Raw Data'!E519,IFERROR(INDEX('Reference Table'!$B$2:$B$32,MATCH(D519,'Reference Table'!$A$2:$A$32,0)),""))</f>
        <v>30</v>
      </c>
      <c r="F519">
        <f>IF('Raw Data'!F519&lt;&gt;"",'Raw Data'!F519,IFERROR(ROUND('Raw Data'!G519/E519,0),""))</f>
        <v>3</v>
      </c>
      <c r="G519">
        <f>IF('Raw Data'!G519&lt;&gt;"",'Raw Data'!G519,IFERROR(ROUND(E519*F519,2),""))</f>
        <v>90</v>
      </c>
      <c r="H519" t="str">
        <f>'Raw Data'!H519</f>
        <v>Cash</v>
      </c>
      <c r="I519" t="str">
        <f>IF('Raw Data'!D519="",IF(D519="Unknown","Could not recover","Filled from Price lookup"),IF(TRIM('Raw Data'!D519)&lt;&gt;'Raw Data'!D519,"Trimmed whitespace","OK"))</f>
        <v>OK</v>
      </c>
      <c r="J519" t="str">
        <f t="shared" si="8"/>
        <v>OK</v>
      </c>
    </row>
    <row r="520" spans="1:10">
      <c r="A520" t="str">
        <f>'Raw Data'!A520</f>
        <v>TXN_1377</v>
      </c>
      <c r="B520" s="1">
        <f>'Raw Data'!B520</f>
        <v>45664</v>
      </c>
      <c r="C520" t="str">
        <f>IFERROR(INDEX('Reference Table'!$C$2:$C$46,MATCH(D520,'Reference Table'!$A$2:$A$46,0)),"Unknown")</f>
        <v>Patisserie</v>
      </c>
      <c r="D520" t="str">
        <f t="array" ref="D520">IF(TRIM('Raw Data'!D520)&lt;&gt;"",TRIM('Raw Data'!D520),IFERROR(INDEX('Reference Table'!$A$2:$A$46,MATCH(VALUE('Raw Data'!E520),VALUE('Reference Table'!$B$2:$B$46),0)),"Unknown"))</f>
        <v>Pat_Croissant</v>
      </c>
      <c r="E520">
        <f>IF('Raw Data'!E520&lt;&gt;"",'Raw Data'!E520,IFERROR(INDEX('Reference Table'!$B$2:$B$32,MATCH(D520,'Reference Table'!$A$2:$A$32,0)),""))</f>
        <v>40</v>
      </c>
      <c r="F520">
        <f>IF('Raw Data'!F520&lt;&gt;"",'Raw Data'!F520,IFERROR(ROUND('Raw Data'!G520/E520,0),""))</f>
        <v>1</v>
      </c>
      <c r="G520">
        <f>IF('Raw Data'!G520&lt;&gt;"",'Raw Data'!G520,IFERROR(ROUND(E520*F520,2),""))</f>
        <v>40</v>
      </c>
      <c r="H520" t="str">
        <f>'Raw Data'!H520</f>
        <v>Credit Card</v>
      </c>
      <c r="I520" t="str">
        <f>IF('Raw Data'!D520="",IF(D520="Unknown","Could not recover","Filled from Price lookup"),IF(TRIM('Raw Data'!D520)&lt;&gt;'Raw Data'!D520,"Trimmed whitespace","OK"))</f>
        <v>OK</v>
      </c>
      <c r="J520" t="str">
        <f t="shared" si="8"/>
        <v>OK</v>
      </c>
    </row>
    <row r="521" spans="1:10">
      <c r="A521" t="str">
        <f>'Raw Data'!A521</f>
        <v>TXN_1284</v>
      </c>
      <c r="B521" s="1">
        <f>'Raw Data'!B521</f>
        <v>45810</v>
      </c>
      <c r="C521" t="str">
        <f>IFERROR(INDEX('Reference Table'!$C$2:$C$46,MATCH(D521,'Reference Table'!$A$2:$A$46,0)),"Unknown")</f>
        <v>Butchers</v>
      </c>
      <c r="D521" t="str">
        <f t="array" ref="D521">IF(TRIM('Raw Data'!D521)&lt;&gt;"",TRIM('Raw Data'!D521),IFERROR(INDEX('Reference Table'!$A$2:$A$46,MATCH(VALUE('Raw Data'!E521),VALUE('Reference Table'!$B$2:$B$46),0)),"Unknown"))</f>
        <v>Meat_Chicken_1kg</v>
      </c>
      <c r="E521">
        <f>IF('Raw Data'!E521&lt;&gt;"",'Raw Data'!E521,IFERROR(INDEX('Reference Table'!$B$2:$B$32,MATCH(D521,'Reference Table'!$A$2:$A$32,0)),""))</f>
        <v>220</v>
      </c>
      <c r="F521">
        <f>IF('Raw Data'!F521&lt;&gt;"",'Raw Data'!F521,IFERROR(ROUND('Raw Data'!G521/E521,0),""))</f>
        <v>5</v>
      </c>
      <c r="G521">
        <f>IF('Raw Data'!G521&lt;&gt;"",'Raw Data'!G521,IFERROR(ROUND(E521*F521,2),""))</f>
        <v>1100</v>
      </c>
      <c r="H521" t="str">
        <f>'Raw Data'!H521</f>
        <v>Cash</v>
      </c>
      <c r="I521" t="str">
        <f>IF('Raw Data'!D521="",IF(D521="Unknown","Could not recover","Filled from Price lookup"),IF(TRIM('Raw Data'!D521)&lt;&gt;'Raw Data'!D521,"Trimmed whitespace","OK"))</f>
        <v>OK</v>
      </c>
      <c r="J521" t="str">
        <f t="shared" si="8"/>
        <v>OK</v>
      </c>
    </row>
    <row r="522" spans="1:10">
      <c r="A522" t="str">
        <f>'Raw Data'!A522</f>
        <v>TXN_1412</v>
      </c>
      <c r="B522" s="1">
        <f>'Raw Data'!B522</f>
        <v>45777</v>
      </c>
      <c r="C522" t="str">
        <f>IFERROR(INDEX('Reference Table'!$C$2:$C$46,MATCH(D522,'Reference Table'!$A$2:$A$46,0)),"Unknown")</f>
        <v>Computers</v>
      </c>
      <c r="D522" t="str">
        <f t="array" ref="D522">IF(TRIM('Raw Data'!D522)&lt;&gt;"",TRIM('Raw Data'!D522),IFERROR(INDEX('Reference Table'!$A$2:$A$46,MATCH(VALUE('Raw Data'!E522),VALUE('Reference Table'!$B$2:$B$46),0)),"Unknown"))</f>
        <v>Comp_Keyboard</v>
      </c>
      <c r="E522">
        <f>IF('Raw Data'!E522&lt;&gt;"",'Raw Data'!E522,IFERROR(INDEX('Reference Table'!$B$2:$B$32,MATCH(D522,'Reference Table'!$A$2:$A$32,0)),""))</f>
        <v>800</v>
      </c>
      <c r="F522">
        <f>IF('Raw Data'!F522&lt;&gt;"",'Raw Data'!F522,IFERROR(ROUND('Raw Data'!G522/E522,0),""))</f>
        <v>5</v>
      </c>
      <c r="G522">
        <f>IF('Raw Data'!G522&lt;&gt;"",'Raw Data'!G522,IFERROR(ROUND(E522*F522,2),""))</f>
        <v>4000</v>
      </c>
      <c r="H522" t="str">
        <f>'Raw Data'!H522</f>
        <v>Mobile Payment</v>
      </c>
      <c r="I522" t="str">
        <f>IF('Raw Data'!D522="",IF(D522="Unknown","Could not recover","Filled from Price lookup"),IF(TRIM('Raw Data'!D522)&lt;&gt;'Raw Data'!D522,"Trimmed whitespace","OK"))</f>
        <v>OK</v>
      </c>
      <c r="J522" t="str">
        <f t="shared" si="8"/>
        <v>OK</v>
      </c>
    </row>
    <row r="523" spans="1:10">
      <c r="A523" t="str">
        <f>'Raw Data'!A523</f>
        <v>TXN_1095</v>
      </c>
      <c r="B523" s="1">
        <f>'Raw Data'!B523</f>
        <v>45828</v>
      </c>
      <c r="C523" t="str">
        <f>IFERROR(INDEX('Reference Table'!$C$2:$C$46,MATCH(D523,'Reference Table'!$A$2:$A$46,0)),"Unknown")</f>
        <v>Milk Products</v>
      </c>
      <c r="D523" t="str">
        <f t="array" ref="D523">IF(TRIM('Raw Data'!D523)&lt;&gt;"",TRIM('Raw Data'!D523),IFERROR(INDEX('Reference Table'!$A$2:$A$46,MATCH(VALUE('Raw Data'!E523),VALUE('Reference Table'!$B$2:$B$46),0)),"Unknown"))</f>
        <v>Milk_Yogurt_400g</v>
      </c>
      <c r="E523">
        <f>IF('Raw Data'!E523&lt;&gt;"",'Raw Data'!E523,IFERROR(INDEX('Reference Table'!$B$2:$B$32,MATCH(D523,'Reference Table'!$A$2:$A$32,0)),""))</f>
        <v>60</v>
      </c>
      <c r="F523">
        <f>IF('Raw Data'!F523&lt;&gt;"",'Raw Data'!F523,IFERROR(ROUND('Raw Data'!G523/E523,0),""))</f>
        <v>4</v>
      </c>
      <c r="G523">
        <f>IF('Raw Data'!G523&lt;&gt;"",'Raw Data'!G523,IFERROR(ROUND(E523*F523,2),""))</f>
        <v>240</v>
      </c>
      <c r="H523" t="str">
        <f>'Raw Data'!H523</f>
        <v>Mobile Payment</v>
      </c>
      <c r="I523" t="str">
        <f>IF('Raw Data'!D523="",IF(D523="Unknown","Could not recover","Filled from Price lookup"),IF(TRIM('Raw Data'!D523)&lt;&gt;'Raw Data'!D523,"Trimmed whitespace","OK"))</f>
        <v>OK</v>
      </c>
      <c r="J523" t="str">
        <f t="shared" si="8"/>
        <v>OK</v>
      </c>
    </row>
    <row r="524" spans="1:10">
      <c r="A524" t="str">
        <f>'Raw Data'!A524</f>
        <v>TXN_1077</v>
      </c>
      <c r="B524" s="1">
        <f>'Raw Data'!B524</f>
        <v>45690</v>
      </c>
      <c r="C524" t="str">
        <f>IFERROR(INDEX('Reference Table'!$C$2:$C$46,MATCH(D524,'Reference Table'!$A$2:$A$46,0)),"Unknown")</f>
        <v>Food</v>
      </c>
      <c r="D524" t="str">
        <f t="array" ref="D524">IF(TRIM('Raw Data'!D524)&lt;&gt;"",TRIM('Raw Data'!D524),IFERROR(INDEX('Reference Table'!$A$2:$A$46,MATCH(VALUE('Raw Data'!E524),VALUE('Reference Table'!$B$2:$B$46),0)),"Unknown"))</f>
        <v>Food_Oats_1kg</v>
      </c>
      <c r="E524">
        <f>IF('Raw Data'!E524&lt;&gt;"",'Raw Data'!E524,IFERROR(INDEX('Reference Table'!$B$2:$B$32,MATCH(D524,'Reference Table'!$A$2:$A$32,0)),""))</f>
        <v>120</v>
      </c>
      <c r="F524">
        <f>IF('Raw Data'!F524&lt;&gt;"",'Raw Data'!F524,IFERROR(ROUND('Raw Data'!G524/E524,0),""))</f>
        <v>4</v>
      </c>
      <c r="G524">
        <f>IF('Raw Data'!G524&lt;&gt;"",'Raw Data'!G524,IFERROR(ROUND(E524*F524,2),""))</f>
        <v>480</v>
      </c>
      <c r="H524" t="str">
        <f>'Raw Data'!H524</f>
        <v>Cash</v>
      </c>
      <c r="I524" t="str">
        <f>IF('Raw Data'!D524="",IF(D524="Unknown","Could not recover","Filled from Price lookup"),IF(TRIM('Raw Data'!D524)&lt;&gt;'Raw Data'!D524,"Trimmed whitespace","OK"))</f>
        <v>OK</v>
      </c>
      <c r="J524" t="str">
        <f t="shared" si="8"/>
        <v>OK</v>
      </c>
    </row>
    <row r="525" spans="1:10">
      <c r="A525" t="str">
        <f>'Raw Data'!A525</f>
        <v>TXN_1462</v>
      </c>
      <c r="B525" s="1">
        <f>'Raw Data'!B525</f>
        <v>45789</v>
      </c>
      <c r="C525" t="str">
        <f>IFERROR(INDEX('Reference Table'!$C$2:$C$46,MATCH(D525,'Reference Table'!$A$2:$A$46,0)),"Unknown")</f>
        <v>Electric Accessories</v>
      </c>
      <c r="D525" t="str">
        <f t="array" ref="D525">IF(TRIM('Raw Data'!D525)&lt;&gt;"",TRIM('Raw Data'!D525),IFERROR(INDEX('Reference Table'!$A$2:$A$46,MATCH(VALUE('Raw Data'!E525),VALUE('Reference Table'!$B$2:$B$46),0)),"Unknown"))</f>
        <v>Elec_Cable_USB</v>
      </c>
      <c r="E525">
        <f>IF('Raw Data'!E525&lt;&gt;"",'Raw Data'!E525,IFERROR(INDEX('Reference Table'!$B$2:$B$32,MATCH(D525,'Reference Table'!$A$2:$A$32,0)),""))</f>
        <v>150</v>
      </c>
      <c r="F525">
        <f>IF('Raw Data'!F525&lt;&gt;"",'Raw Data'!F525,IFERROR(ROUND('Raw Data'!G525/E525,0),""))</f>
        <v>4</v>
      </c>
      <c r="G525">
        <f>IF('Raw Data'!G525&lt;&gt;"",'Raw Data'!G525,IFERROR(ROUND(E525*F525,2),""))</f>
        <v>600</v>
      </c>
      <c r="H525" t="str">
        <f>'Raw Data'!H525</f>
        <v>Debit Card</v>
      </c>
      <c r="I525" t="str">
        <f>IF('Raw Data'!D525="",IF(D525="Unknown","Could not recover","Filled from Price lookup"),IF(TRIM('Raw Data'!D525)&lt;&gt;'Raw Data'!D525,"Trimmed whitespace","OK"))</f>
        <v>Filled from Price lookup</v>
      </c>
      <c r="J525" t="str">
        <f t="shared" si="8"/>
        <v>OK</v>
      </c>
    </row>
    <row r="526" spans="1:10">
      <c r="A526" t="str">
        <f>'Raw Data'!A526</f>
        <v>TXN_1384</v>
      </c>
      <c r="B526" s="1">
        <f>'Raw Data'!B526</f>
        <v>45788</v>
      </c>
      <c r="C526" t="str">
        <f>IFERROR(INDEX('Reference Table'!$C$2:$C$46,MATCH(D526,'Reference Table'!$A$2:$A$46,0)),"Unknown")</f>
        <v>Milk Products</v>
      </c>
      <c r="D526" t="str">
        <f t="array" ref="D526">IF(TRIM('Raw Data'!D526)&lt;&gt;"",TRIM('Raw Data'!D526),IFERROR(INDEX('Reference Table'!$A$2:$A$46,MATCH(VALUE('Raw Data'!E526),VALUE('Reference Table'!$B$2:$B$46),0)),"Unknown"))</f>
        <v>Milk_Butter_500g</v>
      </c>
      <c r="E526">
        <f>IF('Raw Data'!E526&lt;&gt;"",'Raw Data'!E526,IFERROR(INDEX('Reference Table'!$B$2:$B$32,MATCH(D526,'Reference Table'!$A$2:$A$32,0)),""))</f>
        <v>250</v>
      </c>
      <c r="F526">
        <f>IF('Raw Data'!F526&lt;&gt;"",'Raw Data'!F526,IFERROR(ROUND('Raw Data'!G526/E526,0),""))</f>
        <v>3</v>
      </c>
      <c r="G526">
        <f>IF('Raw Data'!G526&lt;&gt;"",'Raw Data'!G526,IFERROR(ROUND(E526*F526,2),""))</f>
        <v>750</v>
      </c>
      <c r="H526" t="str">
        <f>'Raw Data'!H526</f>
        <v>Credit Card</v>
      </c>
      <c r="I526" t="str">
        <f>IF('Raw Data'!D526="",IF(D526="Unknown","Could not recover","Filled from Price lookup"),IF(TRIM('Raw Data'!D526)&lt;&gt;'Raw Data'!D526,"Trimmed whitespace","OK"))</f>
        <v>OK</v>
      </c>
      <c r="J526" t="str">
        <f t="shared" si="8"/>
        <v>OK</v>
      </c>
    </row>
    <row r="527" spans="1:10">
      <c r="A527" t="str">
        <f>'Raw Data'!A527</f>
        <v>TXN_1424</v>
      </c>
      <c r="B527" s="1">
        <f>'Raw Data'!B527</f>
        <v>45696</v>
      </c>
      <c r="C527" t="str">
        <f>IFERROR(INDEX('Reference Table'!$C$2:$C$46,MATCH(D527,'Reference Table'!$A$2:$A$46,0)),"Unknown")</f>
        <v>Computers</v>
      </c>
      <c r="D527" t="str">
        <f t="array" ref="D527">IF(TRIM('Raw Data'!D527)&lt;&gt;"",TRIM('Raw Data'!D527),IFERROR(INDEX('Reference Table'!$A$2:$A$46,MATCH(VALUE('Raw Data'!E527),VALUE('Reference Table'!$B$2:$B$46),0)),"Unknown"))</f>
        <v>Comp_HDMI_Cable</v>
      </c>
      <c r="E527">
        <f>IF('Raw Data'!E527&lt;&gt;"",'Raw Data'!E527,IFERROR(INDEX('Reference Table'!$B$2:$B$32,MATCH(D527,'Reference Table'!$A$2:$A$32,0)),""))</f>
        <v>300</v>
      </c>
      <c r="F527">
        <f>IF('Raw Data'!F527&lt;&gt;"",'Raw Data'!F527,IFERROR(ROUND('Raw Data'!G527/E527,0),""))</f>
        <v>4</v>
      </c>
      <c r="G527">
        <f>IF('Raw Data'!G527&lt;&gt;"",'Raw Data'!G527,IFERROR(ROUND(E527*F527,2),""))</f>
        <v>1200</v>
      </c>
      <c r="H527" t="str">
        <f>'Raw Data'!H527</f>
        <v>Credit Card</v>
      </c>
      <c r="I527" t="str">
        <f>IF('Raw Data'!D527="",IF(D527="Unknown","Could not recover","Filled from Price lookup"),IF(TRIM('Raw Data'!D527)&lt;&gt;'Raw Data'!D527,"Trimmed whitespace","OK"))</f>
        <v>OK</v>
      </c>
      <c r="J527" t="str">
        <f t="shared" si="8"/>
        <v>OK</v>
      </c>
    </row>
    <row r="528" spans="1:10">
      <c r="A528" t="str">
        <f>'Raw Data'!A528</f>
        <v>TXN_1275</v>
      </c>
      <c r="B528" s="1">
        <f>'Raw Data'!B528</f>
        <v>45805</v>
      </c>
      <c r="C528" t="str">
        <f>IFERROR(INDEX('Reference Table'!$C$2:$C$46,MATCH(D528,'Reference Table'!$A$2:$A$46,0)),"Unknown")</f>
        <v>Butchers</v>
      </c>
      <c r="D528" t="str">
        <f t="array" ref="D528">IF(TRIM('Raw Data'!D528)&lt;&gt;"",TRIM('Raw Data'!D528),IFERROR(INDEX('Reference Table'!$A$2:$A$46,MATCH(VALUE('Raw Data'!E528),VALUE('Reference Table'!$B$2:$B$46),0)),"Unknown"))</f>
        <v>Meat_Fish_1kg</v>
      </c>
      <c r="E528">
        <f>IF('Raw Data'!E528&lt;&gt;"",'Raw Data'!E528,IFERROR(INDEX('Reference Table'!$B$2:$B$32,MATCH(D528,'Reference Table'!$A$2:$A$32,0)),""))</f>
        <v>380</v>
      </c>
      <c r="F528">
        <f>IF('Raw Data'!F528&lt;&gt;"",'Raw Data'!F528,IFERROR(ROUND('Raw Data'!G528/E528,0),""))</f>
        <v>1</v>
      </c>
      <c r="G528">
        <f>IF('Raw Data'!G528&lt;&gt;"",'Raw Data'!G528,IFERROR(ROUND(E528*F528,2),""))</f>
        <v>380</v>
      </c>
      <c r="H528" t="str">
        <f>'Raw Data'!H528</f>
        <v>Credit Card</v>
      </c>
      <c r="I528" t="str">
        <f>IF('Raw Data'!D528="",IF(D528="Unknown","Could not recover","Filled from Price lookup"),IF(TRIM('Raw Data'!D528)&lt;&gt;'Raw Data'!D528,"Trimmed whitespace","OK"))</f>
        <v>OK</v>
      </c>
      <c r="J528" t="str">
        <f t="shared" si="8"/>
        <v>OK</v>
      </c>
    </row>
    <row r="529" spans="1:10">
      <c r="A529" t="str">
        <f>'Raw Data'!A529</f>
        <v>TXN_1145</v>
      </c>
      <c r="B529" s="1">
        <f>'Raw Data'!B529</f>
        <v>45814</v>
      </c>
      <c r="C529" t="str">
        <f>IFERROR(INDEX('Reference Table'!$C$2:$C$46,MATCH(D529,'Reference Table'!$A$2:$A$46,0)),"Unknown")</f>
        <v>Electric Accessories</v>
      </c>
      <c r="D529" t="str">
        <f t="array" ref="D529">IF(TRIM('Raw Data'!D529)&lt;&gt;"",TRIM('Raw Data'!D529),IFERROR(INDEX('Reference Table'!$A$2:$A$46,MATCH(VALUE('Raw Data'!E529),VALUE('Reference Table'!$B$2:$B$46),0)),"Unknown"))</f>
        <v>Elec_Powerbank</v>
      </c>
      <c r="E529">
        <f>IF('Raw Data'!E529&lt;&gt;"",'Raw Data'!E529,IFERROR(INDEX('Reference Table'!$B$2:$B$32,MATCH(D529,'Reference Table'!$A$2:$A$32,0)),""))</f>
        <v>900</v>
      </c>
      <c r="F529">
        <f>IF('Raw Data'!F529&lt;&gt;"",'Raw Data'!F529,IFERROR(ROUND('Raw Data'!G529/E529,0),""))</f>
        <v>5</v>
      </c>
      <c r="G529">
        <f>IF('Raw Data'!G529&lt;&gt;"",'Raw Data'!G529,IFERROR(ROUND(E529*F529,2),""))</f>
        <v>4500</v>
      </c>
      <c r="H529" t="str">
        <f>'Raw Data'!H529</f>
        <v>Mobile Payment</v>
      </c>
      <c r="I529" t="str">
        <f>IF('Raw Data'!D529="",IF(D529="Unknown","Could not recover","Filled from Price lookup"),IF(TRIM('Raw Data'!D529)&lt;&gt;'Raw Data'!D529,"Trimmed whitespace","OK"))</f>
        <v>OK</v>
      </c>
      <c r="J529" t="str">
        <f t="shared" si="8"/>
        <v>OK</v>
      </c>
    </row>
    <row r="530" spans="1:10">
      <c r="A530" t="str">
        <f>'Raw Data'!A530</f>
        <v>TXN_1501</v>
      </c>
      <c r="B530" s="1">
        <f>'Raw Data'!B530</f>
        <v>45877</v>
      </c>
      <c r="C530" t="str">
        <f>IFERROR(INDEX('Reference Table'!$C$2:$C$46,MATCH(D530,'Reference Table'!$A$2:$A$46,0)),"Unknown")</f>
        <v>Milk Products</v>
      </c>
      <c r="D530" t="str">
        <f t="array" ref="D530">IF(TRIM('Raw Data'!D530)&lt;&gt;"",TRIM('Raw Data'!D530),IFERROR(INDEX('Reference Table'!$A$2:$A$46,MATCH(VALUE('Raw Data'!E530),VALUE('Reference Table'!$B$2:$B$46),0)),"Unknown"))</f>
        <v>Milk_Ghee_500ml</v>
      </c>
      <c r="E530">
        <f>IF('Raw Data'!E530&lt;&gt;"",'Raw Data'!E530,IFERROR(INDEX('Reference Table'!$B$2:$B$32,MATCH(D530,'Reference Table'!$A$2:$A$32,0)),""))</f>
        <v>350</v>
      </c>
      <c r="F530">
        <f>IF('Raw Data'!F530&lt;&gt;"",'Raw Data'!F530,IFERROR(ROUND('Raw Data'!G530/E530,0),""))</f>
        <v>3</v>
      </c>
      <c r="G530">
        <f>IF('Raw Data'!G530&lt;&gt;"",'Raw Data'!G530,IFERROR(ROUND(E530*F530,2),""))</f>
        <v>1050</v>
      </c>
      <c r="H530" t="str">
        <f>'Raw Data'!H530</f>
        <v>Credit Card</v>
      </c>
      <c r="I530" t="str">
        <f>IF('Raw Data'!D530="",IF(D530="Unknown","Could not recover","Filled from Price lookup"),IF(TRIM('Raw Data'!D530)&lt;&gt;'Raw Data'!D530,"Trimmed whitespace","OK"))</f>
        <v>OK</v>
      </c>
      <c r="J530" t="str">
        <f t="shared" si="8"/>
        <v>OK</v>
      </c>
    </row>
    <row r="531" spans="1:10">
      <c r="A531" t="str">
        <f>'Raw Data'!A531</f>
        <v>TXN_1402</v>
      </c>
      <c r="B531" s="1">
        <f>'Raw Data'!B531</f>
        <v>45822</v>
      </c>
      <c r="C531" t="str">
        <f>IFERROR(INDEX('Reference Table'!$C$2:$C$46,MATCH(D531,'Reference Table'!$A$2:$A$46,0)),"Unknown")</f>
        <v>Computers</v>
      </c>
      <c r="D531" t="str">
        <f t="array" ref="D531">IF(TRIM('Raw Data'!D531)&lt;&gt;"",TRIM('Raw Data'!D531),IFERROR(INDEX('Reference Table'!$A$2:$A$46,MATCH(VALUE('Raw Data'!E531),VALUE('Reference Table'!$B$2:$B$46),0)),"Unknown"))</f>
        <v>Comp_Webcam</v>
      </c>
      <c r="E531">
        <f>IF('Raw Data'!E531&lt;&gt;"",'Raw Data'!E531,IFERROR(INDEX('Reference Table'!$B$2:$B$32,MATCH(D531,'Reference Table'!$A$2:$A$32,0)),""))</f>
        <v>1200</v>
      </c>
      <c r="F531">
        <f>IF('Raw Data'!F531&lt;&gt;"",'Raw Data'!F531,IFERROR(ROUND('Raw Data'!G531/E531,0),""))</f>
        <v>3</v>
      </c>
      <c r="G531">
        <f>IF('Raw Data'!G531&lt;&gt;"",'Raw Data'!G531,IFERROR(ROUND(E531*F531,2),""))</f>
        <v>3600</v>
      </c>
      <c r="H531" t="str">
        <f>'Raw Data'!H531</f>
        <v>Debit Card</v>
      </c>
      <c r="I531" t="str">
        <f>IF('Raw Data'!D531="",IF(D531="Unknown","Could not recover","Filled from Price lookup"),IF(TRIM('Raw Data'!D531)&lt;&gt;'Raw Data'!D531,"Trimmed whitespace","OK"))</f>
        <v>OK</v>
      </c>
      <c r="J531" t="str">
        <f t="shared" si="8"/>
        <v>OK</v>
      </c>
    </row>
    <row r="532" spans="1:10">
      <c r="A532" t="str">
        <f>'Raw Data'!A532</f>
        <v>TXN_1567</v>
      </c>
      <c r="B532" s="1">
        <f>'Raw Data'!B532</f>
        <v>45754</v>
      </c>
      <c r="C532" t="str">
        <f>IFERROR(INDEX('Reference Table'!$C$2:$C$46,MATCH(D532,'Reference Table'!$A$2:$A$46,0)),"Unknown")</f>
        <v>Patisserie</v>
      </c>
      <c r="D532" t="str">
        <f t="array" ref="D532">IF(TRIM('Raw Data'!D532)&lt;&gt;"",TRIM('Raw Data'!D532),IFERROR(INDEX('Reference Table'!$A$2:$A$46,MATCH(VALUE('Raw Data'!E532),VALUE('Reference Table'!$B$2:$B$46),0)),"Unknown"))</f>
        <v>Pat_Croissant</v>
      </c>
      <c r="E532">
        <f>IF('Raw Data'!E532&lt;&gt;"",'Raw Data'!E532,IFERROR(INDEX('Reference Table'!$B$2:$B$32,MATCH(D532,'Reference Table'!$A$2:$A$32,0)),""))</f>
        <v>40</v>
      </c>
      <c r="F532">
        <f>IF('Raw Data'!F532&lt;&gt;"",'Raw Data'!F532,IFERROR(ROUND('Raw Data'!G532/E532,0),""))</f>
        <v>3</v>
      </c>
      <c r="G532">
        <f>IF('Raw Data'!G532&lt;&gt;"",'Raw Data'!G532,IFERROR(ROUND(E532*F532,2),""))</f>
        <v>120</v>
      </c>
      <c r="H532" t="str">
        <f>'Raw Data'!H532</f>
        <v>Debit Card</v>
      </c>
      <c r="I532" t="str">
        <f>IF('Raw Data'!D532="",IF(D532="Unknown","Could not recover","Filled from Price lookup"),IF(TRIM('Raw Data'!D532)&lt;&gt;'Raw Data'!D532,"Trimmed whitespace","OK"))</f>
        <v>OK</v>
      </c>
      <c r="J532" t="str">
        <f t="shared" si="8"/>
        <v>OK</v>
      </c>
    </row>
    <row r="533" spans="1:10">
      <c r="A533" t="str">
        <f>'Raw Data'!A533</f>
        <v>TXN_1329</v>
      </c>
      <c r="B533" s="1">
        <f>'Raw Data'!B533</f>
        <v>45850</v>
      </c>
      <c r="C533" t="str">
        <f>IFERROR(INDEX('Reference Table'!$C$2:$C$46,MATCH(D533,'Reference Table'!$A$2:$A$46,0)),"Unknown")</f>
        <v>Furniture</v>
      </c>
      <c r="D533" t="str">
        <f t="array" ref="D533">IF(TRIM('Raw Data'!D533)&lt;&gt;"",TRIM('Raw Data'!D533),IFERROR(INDEX('Reference Table'!$A$2:$A$46,MATCH(VALUE('Raw Data'!E533),VALUE('Reference Table'!$B$2:$B$46),0)),"Unknown"))</f>
        <v>Furn_Cushion</v>
      </c>
      <c r="E533">
        <f>IF('Raw Data'!E533&lt;&gt;"",'Raw Data'!E533,IFERROR(INDEX('Reference Table'!$B$2:$B$32,MATCH(D533,'Reference Table'!$A$2:$A$32,0)),""))</f>
        <v>350</v>
      </c>
      <c r="F533">
        <f>IF('Raw Data'!F533&lt;&gt;"",'Raw Data'!F533,IFERROR(ROUND('Raw Data'!G533/E533,0),""))</f>
        <v>3</v>
      </c>
      <c r="G533">
        <f>IF('Raw Data'!G533&lt;&gt;"",'Raw Data'!G533,IFERROR(ROUND(E533*F533,2),""))</f>
        <v>1050</v>
      </c>
      <c r="H533" t="str">
        <f>'Raw Data'!H533</f>
        <v>Mobile Payment</v>
      </c>
      <c r="I533" t="str">
        <f>IF('Raw Data'!D533="",IF(D533="Unknown","Could not recover","Filled from Price lookup"),IF(TRIM('Raw Data'!D533)&lt;&gt;'Raw Data'!D533,"Trimmed whitespace","OK"))</f>
        <v>OK</v>
      </c>
      <c r="J533" t="str">
        <f t="shared" si="8"/>
        <v>OK</v>
      </c>
    </row>
    <row r="534" spans="1:10">
      <c r="A534" t="str">
        <f>'Raw Data'!A534</f>
        <v>TXN_1149</v>
      </c>
      <c r="B534" s="1">
        <f>'Raw Data'!B534</f>
        <v>45852</v>
      </c>
      <c r="C534" t="str">
        <f>IFERROR(INDEX('Reference Table'!$C$2:$C$46,MATCH(D534,'Reference Table'!$A$2:$A$46,0)),"Unknown")</f>
        <v>Computers</v>
      </c>
      <c r="D534" t="str">
        <f t="array" ref="D534">IF(TRIM('Raw Data'!D534)&lt;&gt;"",TRIM('Raw Data'!D534),IFERROR(INDEX('Reference Table'!$A$2:$A$46,MATCH(VALUE('Raw Data'!E534),VALUE('Reference Table'!$B$2:$B$46),0)),"Unknown"))</f>
        <v>Comp_Keyboard</v>
      </c>
      <c r="E534">
        <f>IF('Raw Data'!E534&lt;&gt;"",'Raw Data'!E534,IFERROR(INDEX('Reference Table'!$B$2:$B$32,MATCH(D534,'Reference Table'!$A$2:$A$32,0)),""))</f>
        <v>800</v>
      </c>
      <c r="F534">
        <f>IF('Raw Data'!F534&lt;&gt;"",'Raw Data'!F534,IFERROR(ROUND('Raw Data'!G534/E534,0),""))</f>
        <v>5</v>
      </c>
      <c r="G534">
        <f>IF('Raw Data'!G534&lt;&gt;"",'Raw Data'!G534,IFERROR(ROUND(E534*F534,2),""))</f>
        <v>4000</v>
      </c>
      <c r="H534" t="str">
        <f>'Raw Data'!H534</f>
        <v>Credit Card</v>
      </c>
      <c r="I534" t="str">
        <f>IF('Raw Data'!D534="",IF(D534="Unknown","Could not recover","Filled from Price lookup"),IF(TRIM('Raw Data'!D534)&lt;&gt;'Raw Data'!D534,"Trimmed whitespace","OK"))</f>
        <v>OK</v>
      </c>
      <c r="J534" t="str">
        <f t="shared" si="8"/>
        <v>OK</v>
      </c>
    </row>
    <row r="535" spans="1:10">
      <c r="A535" t="str">
        <f>'Raw Data'!A535</f>
        <v>TXN_1255</v>
      </c>
      <c r="B535" s="1">
        <f>'Raw Data'!B535</f>
        <v>45661</v>
      </c>
      <c r="C535" t="str">
        <f>IFERROR(INDEX('Reference Table'!$C$2:$C$46,MATCH(D535,'Reference Table'!$A$2:$A$46,0)),"Unknown")</f>
        <v>Beverages</v>
      </c>
      <c r="D535" t="str">
        <f t="array" ref="D535">IF(TRIM('Raw Data'!D535)&lt;&gt;"",TRIM('Raw Data'!D535),IFERROR(INDEX('Reference Table'!$A$2:$A$46,MATCH(VALUE('Raw Data'!E535),VALUE('Reference Table'!$B$2:$B$46),0)),"Unknown"))</f>
        <v>Bev_Juice_500ml</v>
      </c>
      <c r="E535">
        <f>IF('Raw Data'!E535&lt;&gt;"",'Raw Data'!E535,IFERROR(INDEX('Reference Table'!$B$2:$B$32,MATCH(D535,'Reference Table'!$A$2:$A$32,0)),""))</f>
        <v>45</v>
      </c>
      <c r="F535">
        <f>IF('Raw Data'!F535&lt;&gt;"",'Raw Data'!F535,IFERROR(ROUND('Raw Data'!G535/E535,0),""))</f>
        <v>2</v>
      </c>
      <c r="G535">
        <f>IF('Raw Data'!G535&lt;&gt;"",'Raw Data'!G535,IFERROR(ROUND(E535*F535,2),""))</f>
        <v>90</v>
      </c>
      <c r="H535" t="str">
        <f>'Raw Data'!H535</f>
        <v>Debit Card</v>
      </c>
      <c r="I535" t="str">
        <f>IF('Raw Data'!D535="",IF(D535="Unknown","Could not recover","Filled from Price lookup"),IF(TRIM('Raw Data'!D535)&lt;&gt;'Raw Data'!D535,"Trimmed whitespace","OK"))</f>
        <v>OK</v>
      </c>
      <c r="J535" t="str">
        <f t="shared" si="8"/>
        <v>OK</v>
      </c>
    </row>
    <row r="536" spans="1:10">
      <c r="A536" t="str">
        <f>'Raw Data'!A536</f>
        <v>TXN_1135</v>
      </c>
      <c r="B536" s="1">
        <f>'Raw Data'!B536</f>
        <v>45890</v>
      </c>
      <c r="C536" t="str">
        <f>IFERROR(INDEX('Reference Table'!$C$2:$C$46,MATCH(D536,'Reference Table'!$A$2:$A$46,0)),"Unknown")</f>
        <v>Furniture</v>
      </c>
      <c r="D536" t="str">
        <f t="array" ref="D536">IF(TRIM('Raw Data'!D536)&lt;&gt;"",TRIM('Raw Data'!D536),IFERROR(INDEX('Reference Table'!$A$2:$A$46,MATCH(VALUE('Raw Data'!E536),VALUE('Reference Table'!$B$2:$B$46),0)),"Unknown"))</f>
        <v>Furn_Small_Table</v>
      </c>
      <c r="E536">
        <f>IF('Raw Data'!E536&lt;&gt;"",'Raw Data'!E536,IFERROR(INDEX('Reference Table'!$B$2:$B$32,MATCH(D536,'Reference Table'!$A$2:$A$32,0)),""))</f>
        <v>3200</v>
      </c>
      <c r="F536">
        <f>IF('Raw Data'!F536&lt;&gt;"",'Raw Data'!F536,IFERROR(ROUND('Raw Data'!G536/E536,0),""))</f>
        <v>6</v>
      </c>
      <c r="G536">
        <f>IF('Raw Data'!G536&lt;&gt;"",'Raw Data'!G536,IFERROR(ROUND(E536*F536,2),""))</f>
        <v>19200</v>
      </c>
      <c r="H536" t="str">
        <f>'Raw Data'!H536</f>
        <v>Mobile Payment</v>
      </c>
      <c r="I536" t="str">
        <f>IF('Raw Data'!D536="",IF(D536="Unknown","Could not recover","Filled from Price lookup"),IF(TRIM('Raw Data'!D536)&lt;&gt;'Raw Data'!D536,"Trimmed whitespace","OK"))</f>
        <v>OK</v>
      </c>
      <c r="J536" t="str">
        <f t="shared" si="8"/>
        <v>OK</v>
      </c>
    </row>
    <row r="537" spans="1:10">
      <c r="A537" t="str">
        <f>'Raw Data'!A537</f>
        <v>TXN_1129</v>
      </c>
      <c r="B537" s="1">
        <f>'Raw Data'!B537</f>
        <v>45824</v>
      </c>
      <c r="C537" t="str">
        <f>IFERROR(INDEX('Reference Table'!$C$2:$C$46,MATCH(D537,'Reference Table'!$A$2:$A$46,0)),"Unknown")</f>
        <v>Butchers</v>
      </c>
      <c r="D537" t="str">
        <f t="array" ref="D537">IF(TRIM('Raw Data'!D537)&lt;&gt;"",TRIM('Raw Data'!D537),IFERROR(INDEX('Reference Table'!$A$2:$A$46,MATCH(VALUE('Raw Data'!E537),VALUE('Reference Table'!$B$2:$B$46),0)),"Unknown"))</f>
        <v>Meat_Fish_1kg</v>
      </c>
      <c r="E537">
        <f>IF('Raw Data'!E537&lt;&gt;"",'Raw Data'!E537,IFERROR(INDEX('Reference Table'!$B$2:$B$32,MATCH(D537,'Reference Table'!$A$2:$A$32,0)),""))</f>
        <v>380</v>
      </c>
      <c r="F537">
        <f>IF('Raw Data'!F537&lt;&gt;"",'Raw Data'!F537,IFERROR(ROUND('Raw Data'!G537/E537,0),""))</f>
        <v>2</v>
      </c>
      <c r="G537">
        <f>IF('Raw Data'!G537&lt;&gt;"",'Raw Data'!G537,IFERROR(ROUND(E537*F537,2),""))</f>
        <v>760</v>
      </c>
      <c r="H537" t="str">
        <f>'Raw Data'!H537</f>
        <v>Cash</v>
      </c>
      <c r="I537" t="str">
        <f>IF('Raw Data'!D537="",IF(D537="Unknown","Could not recover","Filled from Price lookup"),IF(TRIM('Raw Data'!D537)&lt;&gt;'Raw Data'!D537,"Trimmed whitespace","OK"))</f>
        <v>OK</v>
      </c>
      <c r="J537" t="str">
        <f t="shared" si="8"/>
        <v>OK</v>
      </c>
    </row>
    <row r="538" spans="1:10">
      <c r="A538" t="str">
        <f>'Raw Data'!A538</f>
        <v>TXN_1283</v>
      </c>
      <c r="B538" s="1">
        <f>'Raw Data'!B538</f>
        <v>45698</v>
      </c>
      <c r="C538" t="str">
        <f>IFERROR(INDEX('Reference Table'!$C$2:$C$46,MATCH(D538,'Reference Table'!$A$2:$A$46,0)),"Unknown")</f>
        <v>Electric Accessories</v>
      </c>
      <c r="D538" t="str">
        <f t="array" ref="D538">IF(TRIM('Raw Data'!D538)&lt;&gt;"",TRIM('Raw Data'!D538),IFERROR(INDEX('Reference Table'!$A$2:$A$46,MATCH(VALUE('Raw Data'!E538),VALUE('Reference Table'!$B$2:$B$46),0)),"Unknown"))</f>
        <v>Elec_Powerbank</v>
      </c>
      <c r="E538">
        <f>IF('Raw Data'!E538&lt;&gt;"",'Raw Data'!E538,IFERROR(INDEX('Reference Table'!$B$2:$B$32,MATCH(D538,'Reference Table'!$A$2:$A$32,0)),""))</f>
        <v>900</v>
      </c>
      <c r="F538">
        <f>IF('Raw Data'!F538&lt;&gt;"",'Raw Data'!F538,IFERROR(ROUND('Raw Data'!G538/E538,0),""))</f>
        <v>3</v>
      </c>
      <c r="G538">
        <f>IF('Raw Data'!G538&lt;&gt;"",'Raw Data'!G538,IFERROR(ROUND(E538*F538,2),""))</f>
        <v>2700</v>
      </c>
      <c r="H538" t="str">
        <f>'Raw Data'!H538</f>
        <v>Debit Card</v>
      </c>
      <c r="I538" t="str">
        <f>IF('Raw Data'!D538="",IF(D538="Unknown","Could not recover","Filled from Price lookup"),IF(TRIM('Raw Data'!D538)&lt;&gt;'Raw Data'!D538,"Trimmed whitespace","OK"))</f>
        <v>OK</v>
      </c>
      <c r="J538" t="str">
        <f t="shared" si="8"/>
        <v>OK</v>
      </c>
    </row>
    <row r="539" spans="1:10">
      <c r="A539" t="str">
        <f>'Raw Data'!A539</f>
        <v>TXN_1587</v>
      </c>
      <c r="B539" s="1">
        <f>'Raw Data'!B539</f>
        <v>45720</v>
      </c>
      <c r="C539" t="str">
        <f>IFERROR(INDEX('Reference Table'!$C$2:$C$46,MATCH(D539,'Reference Table'!$A$2:$A$46,0)),"Unknown")</f>
        <v>Milk Products</v>
      </c>
      <c r="D539" t="str">
        <f t="array" ref="D539">IF(TRIM('Raw Data'!D539)&lt;&gt;"",TRIM('Raw Data'!D539),IFERROR(INDEX('Reference Table'!$A$2:$A$46,MATCH(VALUE('Raw Data'!E539),VALUE('Reference Table'!$B$2:$B$46),0)),"Unknown"))</f>
        <v>Milk_Cheese_200g</v>
      </c>
      <c r="E539">
        <f>IF('Raw Data'!E539&lt;&gt;"",'Raw Data'!E539,IFERROR(INDEX('Reference Table'!$B$2:$B$32,MATCH(D539,'Reference Table'!$A$2:$A$32,0)),""))</f>
        <v>110</v>
      </c>
      <c r="F539">
        <f>IF('Raw Data'!F539&lt;&gt;"",'Raw Data'!F539,IFERROR(ROUND('Raw Data'!G539/E539,0),""))</f>
        <v>6</v>
      </c>
      <c r="G539">
        <f>IF('Raw Data'!G539&lt;&gt;"",'Raw Data'!G539,IFERROR(ROUND(E539*F539,2),""))</f>
        <v>660</v>
      </c>
      <c r="H539" t="str">
        <f>'Raw Data'!H539</f>
        <v>Credit Card</v>
      </c>
      <c r="I539" t="str">
        <f>IF('Raw Data'!D539="",IF(D539="Unknown","Could not recover","Filled from Price lookup"),IF(TRIM('Raw Data'!D539)&lt;&gt;'Raw Data'!D539,"Trimmed whitespace","OK"))</f>
        <v>OK</v>
      </c>
      <c r="J539" t="str">
        <f t="shared" si="8"/>
        <v>OK</v>
      </c>
    </row>
    <row r="540" spans="1:10">
      <c r="A540" t="str">
        <f>'Raw Data'!A540</f>
        <v>TXN_1421</v>
      </c>
      <c r="B540" s="1">
        <f>'Raw Data'!B540</f>
        <v>45753</v>
      </c>
      <c r="C540" t="str">
        <f>IFERROR(INDEX('Reference Table'!$C$2:$C$46,MATCH(D540,'Reference Table'!$A$2:$A$46,0)),"Unknown")</f>
        <v>Food</v>
      </c>
      <c r="D540" t="str">
        <f t="array" ref="D540">IF(TRIM('Raw Data'!D540)&lt;&gt;"",TRIM('Raw Data'!D540),IFERROR(INDEX('Reference Table'!$A$2:$A$46,MATCH(VALUE('Raw Data'!E540),VALUE('Reference Table'!$B$2:$B$46),0)),"Unknown"))</f>
        <v>Food_Wheat_1kg</v>
      </c>
      <c r="E540">
        <f>IF('Raw Data'!E540&lt;&gt;"",'Raw Data'!E540,IFERROR(INDEX('Reference Table'!$B$2:$B$32,MATCH(D540,'Reference Table'!$A$2:$A$32,0)),""))</f>
        <v>55</v>
      </c>
      <c r="F540">
        <f>IF('Raw Data'!F540&lt;&gt;"",'Raw Data'!F540,IFERROR(ROUND('Raw Data'!G540/E540,0),""))</f>
        <v>4</v>
      </c>
      <c r="G540">
        <f>IF('Raw Data'!G540&lt;&gt;"",'Raw Data'!G540,IFERROR(ROUND(E540*F540,2),""))</f>
        <v>220</v>
      </c>
      <c r="H540" t="str">
        <f>'Raw Data'!H540</f>
        <v>Debit Card</v>
      </c>
      <c r="I540" t="str">
        <f>IF('Raw Data'!D540="",IF(D540="Unknown","Could not recover","Filled from Price lookup"),IF(TRIM('Raw Data'!D540)&lt;&gt;'Raw Data'!D540,"Trimmed whitespace","OK"))</f>
        <v>OK</v>
      </c>
      <c r="J540" t="str">
        <f t="shared" si="8"/>
        <v>OK</v>
      </c>
    </row>
    <row r="541" spans="1:10">
      <c r="A541" t="str">
        <f>'Raw Data'!A541</f>
        <v>TXN_1138</v>
      </c>
      <c r="B541" s="1">
        <f>'Raw Data'!B541</f>
        <v>45746</v>
      </c>
      <c r="C541" t="str">
        <f>IFERROR(INDEX('Reference Table'!$C$2:$C$46,MATCH(D541,'Reference Table'!$A$2:$A$46,0)),"Unknown")</f>
        <v>Furniture</v>
      </c>
      <c r="D541" t="str">
        <f t="array" ref="D541">IF(TRIM('Raw Data'!D541)&lt;&gt;"",TRIM('Raw Data'!D541),IFERROR(INDEX('Reference Table'!$A$2:$A$46,MATCH(VALUE('Raw Data'!E541),VALUE('Reference Table'!$B$2:$B$46),0)),"Unknown"))</f>
        <v>Furn_Small_Table</v>
      </c>
      <c r="E541">
        <f>IF('Raw Data'!E541&lt;&gt;"",'Raw Data'!E541,IFERROR(INDEX('Reference Table'!$B$2:$B$32,MATCH(D541,'Reference Table'!$A$2:$A$32,0)),""))</f>
        <v>3200</v>
      </c>
      <c r="F541">
        <f>IF('Raw Data'!F541&lt;&gt;"",'Raw Data'!F541,IFERROR(ROUND('Raw Data'!G541/E541,0),""))</f>
        <v>1</v>
      </c>
      <c r="G541">
        <f>IF('Raw Data'!G541&lt;&gt;"",'Raw Data'!G541,IFERROR(ROUND(E541*F541,2),""))</f>
        <v>3200</v>
      </c>
      <c r="H541" t="str">
        <f>'Raw Data'!H541</f>
        <v>Mobile Payment</v>
      </c>
      <c r="I541" t="str">
        <f>IF('Raw Data'!D541="",IF(D541="Unknown","Could not recover","Filled from Price lookup"),IF(TRIM('Raw Data'!D541)&lt;&gt;'Raw Data'!D541,"Trimmed whitespace","OK"))</f>
        <v>OK</v>
      </c>
      <c r="J541" t="str">
        <f t="shared" si="8"/>
        <v>OK</v>
      </c>
    </row>
    <row r="542" spans="1:10">
      <c r="A542" t="str">
        <f>'Raw Data'!A542</f>
        <v>TXN_1097</v>
      </c>
      <c r="B542" s="1">
        <f>'Raw Data'!B542</f>
        <v>45731</v>
      </c>
      <c r="C542" t="str">
        <f>IFERROR(INDEX('Reference Table'!$C$2:$C$46,MATCH(D542,'Reference Table'!$A$2:$A$46,0)),"Unknown")</f>
        <v>Beverages</v>
      </c>
      <c r="D542" t="str">
        <f t="array" ref="D542">IF(TRIM('Raw Data'!D542)&lt;&gt;"",TRIM('Raw Data'!D542),IFERROR(INDEX('Reference Table'!$A$2:$A$46,MATCH(VALUE('Raw Data'!E542),VALUE('Reference Table'!$B$2:$B$46),0)),"Unknown"))</f>
        <v>Bev_Cola_1L</v>
      </c>
      <c r="E542">
        <f>IF('Raw Data'!E542&lt;&gt;"",'Raw Data'!E542,IFERROR(INDEX('Reference Table'!$B$2:$B$32,MATCH(D542,'Reference Table'!$A$2:$A$32,0)),""))</f>
        <v>60</v>
      </c>
      <c r="F542">
        <f>IF('Raw Data'!F542&lt;&gt;"",'Raw Data'!F542,IFERROR(ROUND('Raw Data'!G542/E542,0),""))</f>
        <v>3</v>
      </c>
      <c r="G542">
        <f>IF('Raw Data'!G542&lt;&gt;"",'Raw Data'!G542,IFERROR(ROUND(E542*F542,2),""))</f>
        <v>180</v>
      </c>
      <c r="H542" t="str">
        <f>'Raw Data'!H542</f>
        <v>Credit Card</v>
      </c>
      <c r="I542" t="str">
        <f>IF('Raw Data'!D542="",IF(D542="Unknown","Could not recover","Filled from Price lookup"),IF(TRIM('Raw Data'!D542)&lt;&gt;'Raw Data'!D542,"Trimmed whitespace","OK"))</f>
        <v>Trimmed whitespace</v>
      </c>
      <c r="J542" t="str">
        <f t="shared" si="8"/>
        <v>OK</v>
      </c>
    </row>
    <row r="543" spans="1:10">
      <c r="A543" t="str">
        <f>'Raw Data'!A543</f>
        <v>TXN_1526</v>
      </c>
      <c r="B543" s="1">
        <f>'Raw Data'!B543</f>
        <v>45763</v>
      </c>
      <c r="C543" t="str">
        <f>IFERROR(INDEX('Reference Table'!$C$2:$C$46,MATCH(D543,'Reference Table'!$A$2:$A$46,0)),"Unknown")</f>
        <v>Computers</v>
      </c>
      <c r="D543" t="str">
        <f t="array" ref="D543">IF(TRIM('Raw Data'!D543)&lt;&gt;"",TRIM('Raw Data'!D543),IFERROR(INDEX('Reference Table'!$A$2:$A$46,MATCH(VALUE('Raw Data'!E543),VALUE('Reference Table'!$B$2:$B$46),0)),"Unknown"))</f>
        <v>Comp_Webcam</v>
      </c>
      <c r="E543">
        <f>IF('Raw Data'!E543&lt;&gt;"",'Raw Data'!E543,IFERROR(INDEX('Reference Table'!$B$2:$B$32,MATCH(D543,'Reference Table'!$A$2:$A$32,0)),""))</f>
        <v>1200</v>
      </c>
      <c r="F543">
        <f>IF('Raw Data'!F543&lt;&gt;"",'Raw Data'!F543,IFERROR(ROUND('Raw Data'!G543/E543,0),""))</f>
        <v>5</v>
      </c>
      <c r="G543">
        <f>IF('Raw Data'!G543&lt;&gt;"",'Raw Data'!G543,IFERROR(ROUND(E543*F543,2),""))</f>
        <v>6000</v>
      </c>
      <c r="H543" t="str">
        <f>'Raw Data'!H543</f>
        <v>Cash</v>
      </c>
      <c r="I543" t="str">
        <f>IF('Raw Data'!D543="",IF(D543="Unknown","Could not recover","Filled from Price lookup"),IF(TRIM('Raw Data'!D543)&lt;&gt;'Raw Data'!D543,"Trimmed whitespace","OK"))</f>
        <v>Filled from Price lookup</v>
      </c>
      <c r="J543" t="str">
        <f t="shared" si="8"/>
        <v>OK</v>
      </c>
    </row>
    <row r="544" spans="1:10">
      <c r="A544" t="str">
        <f>'Raw Data'!A544</f>
        <v>TXN_1273</v>
      </c>
      <c r="B544" s="1">
        <f>'Raw Data'!B544</f>
        <v>45742</v>
      </c>
      <c r="C544" t="str">
        <f>IFERROR(INDEX('Reference Table'!$C$2:$C$46,MATCH(D544,'Reference Table'!$A$2:$A$46,0)),"Unknown")</f>
        <v>Furniture</v>
      </c>
      <c r="D544" t="str">
        <f t="array" ref="D544">IF(TRIM('Raw Data'!D544)&lt;&gt;"",TRIM('Raw Data'!D544),IFERROR(INDEX('Reference Table'!$A$2:$A$46,MATCH(VALUE('Raw Data'!E544),VALUE('Reference Table'!$B$2:$B$46),0)),"Unknown"))</f>
        <v>Furn_Chair</v>
      </c>
      <c r="E544">
        <f>IF('Raw Data'!E544&lt;&gt;"",'Raw Data'!E544,IFERROR(INDEX('Reference Table'!$B$2:$B$32,MATCH(D544,'Reference Table'!$A$2:$A$32,0)),""))</f>
        <v>2500</v>
      </c>
      <c r="F544">
        <f>IF('Raw Data'!F544&lt;&gt;"",'Raw Data'!F544,IFERROR(ROUND('Raw Data'!G544/E544,0),""))</f>
        <v>5</v>
      </c>
      <c r="G544">
        <f>IF('Raw Data'!G544&lt;&gt;"",'Raw Data'!G544,IFERROR(ROUND(E544*F544,2),""))</f>
        <v>12500</v>
      </c>
      <c r="H544" t="str">
        <f>'Raw Data'!H544</f>
        <v>Cash</v>
      </c>
      <c r="I544" t="str">
        <f>IF('Raw Data'!D544="",IF(D544="Unknown","Could not recover","Filled from Price lookup"),IF(TRIM('Raw Data'!D544)&lt;&gt;'Raw Data'!D544,"Trimmed whitespace","OK"))</f>
        <v>OK</v>
      </c>
      <c r="J544" t="str">
        <f t="shared" si="8"/>
        <v>OK</v>
      </c>
    </row>
    <row r="545" spans="1:10">
      <c r="A545" t="str">
        <f>'Raw Data'!A545</f>
        <v>TXN_1296</v>
      </c>
      <c r="B545" s="1">
        <f>'Raw Data'!B545</f>
        <v>45839</v>
      </c>
      <c r="C545" t="str">
        <f>IFERROR(INDEX('Reference Table'!$C$2:$C$46,MATCH(D545,'Reference Table'!$A$2:$A$46,0)),"Unknown")</f>
        <v>Furniture</v>
      </c>
      <c r="D545" t="str">
        <f t="array" ref="D545">IF(TRIM('Raw Data'!D545)&lt;&gt;"",TRIM('Raw Data'!D545),IFERROR(INDEX('Reference Table'!$A$2:$A$46,MATCH(VALUE('Raw Data'!E545),VALUE('Reference Table'!$B$2:$B$46),0)),"Unknown"))</f>
        <v>Furn_Small_Table</v>
      </c>
      <c r="E545">
        <f>IF('Raw Data'!E545&lt;&gt;"",'Raw Data'!E545,IFERROR(INDEX('Reference Table'!$B$2:$B$32,MATCH(D545,'Reference Table'!$A$2:$A$32,0)),""))</f>
        <v>3200</v>
      </c>
      <c r="F545">
        <f>IF('Raw Data'!F545&lt;&gt;"",'Raw Data'!F545,IFERROR(ROUND('Raw Data'!G545/E545,0),""))</f>
        <v>4</v>
      </c>
      <c r="G545">
        <f>IF('Raw Data'!G545&lt;&gt;"",'Raw Data'!G545,IFERROR(ROUND(E545*F545,2),""))</f>
        <v>12800</v>
      </c>
      <c r="H545" t="str">
        <f>'Raw Data'!H545</f>
        <v>Mobile Payment</v>
      </c>
      <c r="I545" t="str">
        <f>IF('Raw Data'!D545="",IF(D545="Unknown","Could not recover","Filled from Price lookup"),IF(TRIM('Raw Data'!D545)&lt;&gt;'Raw Data'!D545,"Trimmed whitespace","OK"))</f>
        <v>OK</v>
      </c>
      <c r="J545" t="str">
        <f t="shared" si="8"/>
        <v>OK</v>
      </c>
    </row>
    <row r="546" spans="1:10">
      <c r="A546" t="str">
        <f>'Raw Data'!A546</f>
        <v>TXN_1591</v>
      </c>
      <c r="B546" s="1">
        <f>'Raw Data'!B546</f>
        <v>45659</v>
      </c>
      <c r="C546" t="str">
        <f>IFERROR(INDEX('Reference Table'!$C$2:$C$46,MATCH(D546,'Reference Table'!$A$2:$A$46,0)),"Unknown")</f>
        <v>Electric Accessories</v>
      </c>
      <c r="D546" t="str">
        <f t="array" ref="D546">IF(TRIM('Raw Data'!D546)&lt;&gt;"",TRIM('Raw Data'!D546),IFERROR(INDEX('Reference Table'!$A$2:$A$46,MATCH(VALUE('Raw Data'!E546),VALUE('Reference Table'!$B$2:$B$46),0)),"Unknown"))</f>
        <v>Elec_Earphones</v>
      </c>
      <c r="E546">
        <f>IF('Raw Data'!E546&lt;&gt;"",'Raw Data'!E546,IFERROR(INDEX('Reference Table'!$B$2:$B$32,MATCH(D546,'Reference Table'!$A$2:$A$32,0)),""))</f>
        <v>350</v>
      </c>
      <c r="F546">
        <f>IF('Raw Data'!F546&lt;&gt;"",'Raw Data'!F546,IFERROR(ROUND('Raw Data'!G546/E546,0),""))</f>
        <v>4</v>
      </c>
      <c r="G546">
        <f>IF('Raw Data'!G546&lt;&gt;"",'Raw Data'!G546,IFERROR(ROUND(E546*F546,2),""))</f>
        <v>1400</v>
      </c>
      <c r="H546" t="str">
        <f>'Raw Data'!H546</f>
        <v>Credit Card</v>
      </c>
      <c r="I546" t="str">
        <f>IF('Raw Data'!D546="",IF(D546="Unknown","Could not recover","Filled from Price lookup"),IF(TRIM('Raw Data'!D546)&lt;&gt;'Raw Data'!D546,"Trimmed whitespace","OK"))</f>
        <v>OK</v>
      </c>
      <c r="J546" t="str">
        <f t="shared" si="8"/>
        <v>OK</v>
      </c>
    </row>
    <row r="547" spans="1:10">
      <c r="A547" t="str">
        <f>'Raw Data'!A547</f>
        <v>TXN_1331</v>
      </c>
      <c r="B547" s="1">
        <f>'Raw Data'!B547</f>
        <v>45831</v>
      </c>
      <c r="C547" t="str">
        <f>IFERROR(INDEX('Reference Table'!$C$2:$C$46,MATCH(D547,'Reference Table'!$A$2:$A$46,0)),"Unknown")</f>
        <v>Milk Products</v>
      </c>
      <c r="D547" t="str">
        <f t="array" ref="D547">IF(TRIM('Raw Data'!D547)&lt;&gt;"",TRIM('Raw Data'!D547),IFERROR(INDEX('Reference Table'!$A$2:$A$46,MATCH(VALUE('Raw Data'!E547),VALUE('Reference Table'!$B$2:$B$46),0)),"Unknown"))</f>
        <v>Milk_Yogurt_400g</v>
      </c>
      <c r="E547">
        <f>IF('Raw Data'!E547&lt;&gt;"",'Raw Data'!E547,IFERROR(INDEX('Reference Table'!$B$2:$B$32,MATCH(D547,'Reference Table'!$A$2:$A$32,0)),""))</f>
        <v>60</v>
      </c>
      <c r="F547">
        <f>IF('Raw Data'!F547&lt;&gt;"",'Raw Data'!F547,IFERROR(ROUND('Raw Data'!G547/E547,0),""))</f>
        <v>3</v>
      </c>
      <c r="G547">
        <f>IF('Raw Data'!G547&lt;&gt;"",'Raw Data'!G547,IFERROR(ROUND(E547*F547,2),""))</f>
        <v>180</v>
      </c>
      <c r="H547" t="str">
        <f>'Raw Data'!H547</f>
        <v>Mobile Payment</v>
      </c>
      <c r="I547" t="str">
        <f>IF('Raw Data'!D547="",IF(D547="Unknown","Could not recover","Filled from Price lookup"),IF(TRIM('Raw Data'!D547)&lt;&gt;'Raw Data'!D547,"Trimmed whitespace","OK"))</f>
        <v>OK</v>
      </c>
      <c r="J547" t="str">
        <f t="shared" si="8"/>
        <v>OK</v>
      </c>
    </row>
    <row r="548" spans="1:10">
      <c r="A548" t="str">
        <f>'Raw Data'!A548</f>
        <v>TXN_1585</v>
      </c>
      <c r="B548" s="1">
        <f>'Raw Data'!B548</f>
        <v>45675</v>
      </c>
      <c r="C548" t="str">
        <f>IFERROR(INDEX('Reference Table'!$C$2:$C$46,MATCH(D548,'Reference Table'!$A$2:$A$46,0)),"Unknown")</f>
        <v>Patisserie</v>
      </c>
      <c r="D548" t="str">
        <f t="array" ref="D548">IF(TRIM('Raw Data'!D548)&lt;&gt;"",TRIM('Raw Data'!D548),IFERROR(INDEX('Reference Table'!$A$2:$A$46,MATCH(VALUE('Raw Data'!E548),VALUE('Reference Table'!$B$2:$B$46),0)),"Unknown"))</f>
        <v>Pat_Cake_Slice</v>
      </c>
      <c r="E548">
        <f>IF('Raw Data'!E548&lt;&gt;"",'Raw Data'!E548,IFERROR(INDEX('Reference Table'!$B$2:$B$32,MATCH(D548,'Reference Table'!$A$2:$A$32,0)),""))</f>
        <v>90</v>
      </c>
      <c r="F548">
        <f>IF('Raw Data'!F548&lt;&gt;"",'Raw Data'!F548,IFERROR(ROUND('Raw Data'!G548/E548,0),""))</f>
        <v>3</v>
      </c>
      <c r="G548">
        <f>IF('Raw Data'!G548&lt;&gt;"",'Raw Data'!G548,IFERROR(ROUND(E548*F548,2),""))</f>
        <v>270</v>
      </c>
      <c r="H548" t="str">
        <f>'Raw Data'!H548</f>
        <v>Debit Card</v>
      </c>
      <c r="I548" t="str">
        <f>IF('Raw Data'!D548="",IF(D548="Unknown","Could not recover","Filled from Price lookup"),IF(TRIM('Raw Data'!D548)&lt;&gt;'Raw Data'!D548,"Trimmed whitespace","OK"))</f>
        <v>Filled from Price lookup</v>
      </c>
      <c r="J548" t="str">
        <f t="shared" si="8"/>
        <v>OK</v>
      </c>
    </row>
    <row r="549" spans="1:10">
      <c r="A549" t="str">
        <f>'Raw Data'!A549</f>
        <v>TXN_1287</v>
      </c>
      <c r="B549" s="1">
        <f>'Raw Data'!B549</f>
        <v>45727</v>
      </c>
      <c r="C549" t="str">
        <f>IFERROR(INDEX('Reference Table'!$C$2:$C$46,MATCH(D549,'Reference Table'!$A$2:$A$46,0)),"Unknown")</f>
        <v>Electric Accessories</v>
      </c>
      <c r="D549" t="str">
        <f t="array" ref="D549">IF(TRIM('Raw Data'!D549)&lt;&gt;"",TRIM('Raw Data'!D549),IFERROR(INDEX('Reference Table'!$A$2:$A$46,MATCH(VALUE('Raw Data'!E549),VALUE('Reference Table'!$B$2:$B$46),0)),"Unknown"))</f>
        <v>Elec_Batteries_4pk</v>
      </c>
      <c r="E549">
        <f>IF('Raw Data'!E549&lt;&gt;"",'Raw Data'!E549,IFERROR(INDEX('Reference Table'!$B$2:$B$32,MATCH(D549,'Reference Table'!$A$2:$A$32,0)),""))</f>
        <v>90</v>
      </c>
      <c r="F549">
        <f>IF('Raw Data'!F549&lt;&gt;"",'Raw Data'!F549,IFERROR(ROUND('Raw Data'!G549/E549,0),""))</f>
        <v>4</v>
      </c>
      <c r="G549">
        <f>IF('Raw Data'!G549&lt;&gt;"",'Raw Data'!G549,IFERROR(ROUND(E549*F549,2),""))</f>
        <v>360</v>
      </c>
      <c r="H549" t="str">
        <f>'Raw Data'!H549</f>
        <v>Credit Card</v>
      </c>
      <c r="I549" t="str">
        <f>IF('Raw Data'!D549="",IF(D549="Unknown","Could not recover","Filled from Price lookup"),IF(TRIM('Raw Data'!D549)&lt;&gt;'Raw Data'!D549,"Trimmed whitespace","OK"))</f>
        <v>OK</v>
      </c>
      <c r="J549" t="str">
        <f t="shared" si="8"/>
        <v>OK</v>
      </c>
    </row>
    <row r="550" spans="1:10">
      <c r="A550" t="str">
        <f>'Raw Data'!A550</f>
        <v>TXN_1545</v>
      </c>
      <c r="B550" s="1">
        <f>'Raw Data'!B550</f>
        <v>45820</v>
      </c>
      <c r="C550" t="str">
        <f>IFERROR(INDEX('Reference Table'!$C$2:$C$46,MATCH(D550,'Reference Table'!$A$2:$A$46,0)),"Unknown")</f>
        <v>Butchers</v>
      </c>
      <c r="D550" t="str">
        <f t="array" ref="D550">IF(TRIM('Raw Data'!D550)&lt;&gt;"",TRIM('Raw Data'!D550),IFERROR(INDEX('Reference Table'!$A$2:$A$46,MATCH(VALUE('Raw Data'!E550),VALUE('Reference Table'!$B$2:$B$46),0)),"Unknown"))</f>
        <v>Meat_Chicken_1kg</v>
      </c>
      <c r="E550">
        <f>IF('Raw Data'!E550&lt;&gt;"",'Raw Data'!E550,IFERROR(INDEX('Reference Table'!$B$2:$B$32,MATCH(D550,'Reference Table'!$A$2:$A$32,0)),""))</f>
        <v>220</v>
      </c>
      <c r="F550">
        <f>IF('Raw Data'!F550&lt;&gt;"",'Raw Data'!F550,IFERROR(ROUND('Raw Data'!G550/E550,0),""))</f>
        <v>1</v>
      </c>
      <c r="G550">
        <f>IF('Raw Data'!G550&lt;&gt;"",'Raw Data'!G550,IFERROR(ROUND(E550*F550,2),""))</f>
        <v>220</v>
      </c>
      <c r="H550" t="str">
        <f>'Raw Data'!H550</f>
        <v>Debit Card</v>
      </c>
      <c r="I550" t="str">
        <f>IF('Raw Data'!D550="",IF(D550="Unknown","Could not recover","Filled from Price lookup"),IF(TRIM('Raw Data'!D550)&lt;&gt;'Raw Data'!D550,"Trimmed whitespace","OK"))</f>
        <v>OK</v>
      </c>
      <c r="J550" t="str">
        <f t="shared" si="8"/>
        <v>OK</v>
      </c>
    </row>
    <row r="551" spans="1:10">
      <c r="A551" t="str">
        <f>'Raw Data'!A551</f>
        <v>TXN_1576</v>
      </c>
      <c r="B551" s="1">
        <f>'Raw Data'!B551</f>
        <v>45828</v>
      </c>
      <c r="C551" t="str">
        <f>IFERROR(INDEX('Reference Table'!$C$2:$C$46,MATCH(D551,'Reference Table'!$A$2:$A$46,0)),"Unknown")</f>
        <v>Patisserie</v>
      </c>
      <c r="D551" t="str">
        <f t="array" ref="D551">IF(TRIM('Raw Data'!D551)&lt;&gt;"",TRIM('Raw Data'!D551),IFERROR(INDEX('Reference Table'!$A$2:$A$46,MATCH(VALUE('Raw Data'!E551),VALUE('Reference Table'!$B$2:$B$46),0)),"Unknown"))</f>
        <v>Pat_Croissant</v>
      </c>
      <c r="E551">
        <f>IF('Raw Data'!E551&lt;&gt;"",'Raw Data'!E551,IFERROR(INDEX('Reference Table'!$B$2:$B$32,MATCH(D551,'Reference Table'!$A$2:$A$32,0)),""))</f>
        <v>40</v>
      </c>
      <c r="F551">
        <f>IF('Raw Data'!F551&lt;&gt;"",'Raw Data'!F551,IFERROR(ROUND('Raw Data'!G551/E551,0),""))</f>
        <v>6</v>
      </c>
      <c r="G551">
        <f>IF('Raw Data'!G551&lt;&gt;"",'Raw Data'!G551,IFERROR(ROUND(E551*F551,2),""))</f>
        <v>240</v>
      </c>
      <c r="H551" t="str">
        <f>'Raw Data'!H551</f>
        <v>Debit Card</v>
      </c>
      <c r="I551" t="str">
        <f>IF('Raw Data'!D551="",IF(D551="Unknown","Could not recover","Filled from Price lookup"),IF(TRIM('Raw Data'!D551)&lt;&gt;'Raw Data'!D551,"Trimmed whitespace","OK"))</f>
        <v>OK</v>
      </c>
      <c r="J551" t="str">
        <f t="shared" si="8"/>
        <v>OK</v>
      </c>
    </row>
    <row r="552" spans="1:10">
      <c r="A552" t="str">
        <f>'Raw Data'!A552</f>
        <v>TXN_1060</v>
      </c>
      <c r="B552" s="1">
        <f>'Raw Data'!B552</f>
        <v>45806</v>
      </c>
      <c r="C552" t="str">
        <f>IFERROR(INDEX('Reference Table'!$C$2:$C$46,MATCH(D552,'Reference Table'!$A$2:$A$46,0)),"Unknown")</f>
        <v>Furniture</v>
      </c>
      <c r="D552" t="str">
        <f t="array" ref="D552">IF(TRIM('Raw Data'!D552)&lt;&gt;"",TRIM('Raw Data'!D552),IFERROR(INDEX('Reference Table'!$A$2:$A$46,MATCH(VALUE('Raw Data'!E552),VALUE('Reference Table'!$B$2:$B$46),0)),"Unknown"))</f>
        <v>Furn_Small_Table</v>
      </c>
      <c r="E552">
        <f>IF('Raw Data'!E552&lt;&gt;"",'Raw Data'!E552,IFERROR(INDEX('Reference Table'!$B$2:$B$32,MATCH(D552,'Reference Table'!$A$2:$A$32,0)),""))</f>
        <v>3200</v>
      </c>
      <c r="F552">
        <f>IF('Raw Data'!F552&lt;&gt;"",'Raw Data'!F552,IFERROR(ROUND('Raw Data'!G552/E552,0),""))</f>
        <v>2</v>
      </c>
      <c r="G552">
        <f>IF('Raw Data'!G552&lt;&gt;"",'Raw Data'!G552,IFERROR(ROUND(E552*F552,2),""))</f>
        <v>6400</v>
      </c>
      <c r="H552" t="str">
        <f>'Raw Data'!H552</f>
        <v>Cash</v>
      </c>
      <c r="I552" t="str">
        <f>IF('Raw Data'!D552="",IF(D552="Unknown","Could not recover","Filled from Price lookup"),IF(TRIM('Raw Data'!D552)&lt;&gt;'Raw Data'!D552,"Trimmed whitespace","OK"))</f>
        <v>OK</v>
      </c>
      <c r="J552" t="str">
        <f t="shared" si="8"/>
        <v>OK</v>
      </c>
    </row>
    <row r="553" spans="1:10">
      <c r="A553" t="str">
        <f>'Raw Data'!A553</f>
        <v>TXN_1552</v>
      </c>
      <c r="B553" s="1">
        <f>'Raw Data'!B553</f>
        <v>45691</v>
      </c>
      <c r="C553" t="str">
        <f>IFERROR(INDEX('Reference Table'!$C$2:$C$46,MATCH(D553,'Reference Table'!$A$2:$A$46,0)),"Unknown")</f>
        <v>Patisserie</v>
      </c>
      <c r="D553" t="str">
        <f t="array" ref="D553">IF(TRIM('Raw Data'!D553)&lt;&gt;"",TRIM('Raw Data'!D553),IFERROR(INDEX('Reference Table'!$A$2:$A$46,MATCH(VALUE('Raw Data'!E553),VALUE('Reference Table'!$B$2:$B$46),0)),"Unknown"))</f>
        <v>Pat_Donut</v>
      </c>
      <c r="E553">
        <f>IF('Raw Data'!E553&lt;&gt;"",'Raw Data'!E553,IFERROR(INDEX('Reference Table'!$B$2:$B$32,MATCH(D553,'Reference Table'!$A$2:$A$32,0)),""))</f>
        <v>30</v>
      </c>
      <c r="F553">
        <f>IF('Raw Data'!F553&lt;&gt;"",'Raw Data'!F553,IFERROR(ROUND('Raw Data'!G553/E553,0),""))</f>
        <v>1</v>
      </c>
      <c r="G553">
        <f>IF('Raw Data'!G553&lt;&gt;"",'Raw Data'!G553,IFERROR(ROUND(E553*F553,2),""))</f>
        <v>30</v>
      </c>
      <c r="H553" t="str">
        <f>'Raw Data'!H553</f>
        <v>Cash</v>
      </c>
      <c r="I553" t="str">
        <f>IF('Raw Data'!D553="",IF(D553="Unknown","Could not recover","Filled from Price lookup"),IF(TRIM('Raw Data'!D553)&lt;&gt;'Raw Data'!D553,"Trimmed whitespace","OK"))</f>
        <v>OK</v>
      </c>
      <c r="J553" t="str">
        <f t="shared" si="8"/>
        <v>OK</v>
      </c>
    </row>
    <row r="554" spans="1:10">
      <c r="A554" t="str">
        <f>'Raw Data'!A554</f>
        <v>TXN_1211</v>
      </c>
      <c r="B554" s="1">
        <f>'Raw Data'!B554</f>
        <v>45667</v>
      </c>
      <c r="C554" t="str">
        <f>IFERROR(INDEX('Reference Table'!$C$2:$C$46,MATCH(D554,'Reference Table'!$A$2:$A$46,0)),"Unknown")</f>
        <v>Computers</v>
      </c>
      <c r="D554" t="str">
        <f t="array" ref="D554">IF(TRIM('Raw Data'!D554)&lt;&gt;"",TRIM('Raw Data'!D554),IFERROR(INDEX('Reference Table'!$A$2:$A$46,MATCH(VALUE('Raw Data'!E554),VALUE('Reference Table'!$B$2:$B$46),0)),"Unknown"))</f>
        <v>Comp_Keyboard</v>
      </c>
      <c r="E554">
        <f>IF('Raw Data'!E554&lt;&gt;"",'Raw Data'!E554,IFERROR(INDEX('Reference Table'!$B$2:$B$32,MATCH(D554,'Reference Table'!$A$2:$A$32,0)),""))</f>
        <v>800</v>
      </c>
      <c r="F554">
        <f>IF('Raw Data'!F554&lt;&gt;"",'Raw Data'!F554,IFERROR(ROUND('Raw Data'!G554/E554,0),""))</f>
        <v>5</v>
      </c>
      <c r="G554">
        <f>IF('Raw Data'!G554&lt;&gt;"",'Raw Data'!G554,IFERROR(ROUND(E554*F554,2),""))</f>
        <v>4000</v>
      </c>
      <c r="H554" t="str">
        <f>'Raw Data'!H554</f>
        <v>Cash</v>
      </c>
      <c r="I554" t="str">
        <f>IF('Raw Data'!D554="",IF(D554="Unknown","Could not recover","Filled from Price lookup"),IF(TRIM('Raw Data'!D554)&lt;&gt;'Raw Data'!D554,"Trimmed whitespace","OK"))</f>
        <v>OK</v>
      </c>
      <c r="J554" t="str">
        <f t="shared" si="8"/>
        <v>OK</v>
      </c>
    </row>
    <row r="555" spans="1:10">
      <c r="A555" t="str">
        <f>'Raw Data'!A555</f>
        <v>TXN_1142</v>
      </c>
      <c r="B555" s="1">
        <f>'Raw Data'!B555</f>
        <v>45727</v>
      </c>
      <c r="C555" t="str">
        <f>IFERROR(INDEX('Reference Table'!$C$2:$C$46,MATCH(D555,'Reference Table'!$A$2:$A$46,0)),"Unknown")</f>
        <v>Computers</v>
      </c>
      <c r="D555" t="str">
        <f t="array" ref="D555">IF(TRIM('Raw Data'!D555)&lt;&gt;"",TRIM('Raw Data'!D555),IFERROR(INDEX('Reference Table'!$A$2:$A$46,MATCH(VALUE('Raw Data'!E555),VALUE('Reference Table'!$B$2:$B$46),0)),"Unknown"))</f>
        <v>Comp_HDMI_Cable</v>
      </c>
      <c r="E555">
        <f>IF('Raw Data'!E555&lt;&gt;"",'Raw Data'!E555,IFERROR(INDEX('Reference Table'!$B$2:$B$32,MATCH(D555,'Reference Table'!$A$2:$A$32,0)),""))</f>
        <v>300</v>
      </c>
      <c r="F555">
        <f>IF('Raw Data'!F555&lt;&gt;"",'Raw Data'!F555,IFERROR(ROUND('Raw Data'!G555/E555,0),""))</f>
        <v>6</v>
      </c>
      <c r="G555">
        <f>IF('Raw Data'!G555&lt;&gt;"",'Raw Data'!G555,IFERROR(ROUND(E555*F555,2),""))</f>
        <v>1800</v>
      </c>
      <c r="H555" t="str">
        <f>'Raw Data'!H555</f>
        <v>Mobile Payment</v>
      </c>
      <c r="I555" t="str">
        <f>IF('Raw Data'!D555="",IF(D555="Unknown","Could not recover","Filled from Price lookup"),IF(TRIM('Raw Data'!D555)&lt;&gt;'Raw Data'!D555,"Trimmed whitespace","OK"))</f>
        <v>OK</v>
      </c>
      <c r="J555" t="str">
        <f t="shared" si="8"/>
        <v>OK</v>
      </c>
    </row>
    <row r="556" spans="1:10">
      <c r="A556" t="str">
        <f>'Raw Data'!A556</f>
        <v>TXN_1169</v>
      </c>
      <c r="B556" s="1">
        <f>'Raw Data'!B556</f>
        <v>45712</v>
      </c>
      <c r="C556" t="str">
        <f>IFERROR(INDEX('Reference Table'!$C$2:$C$46,MATCH(D556,'Reference Table'!$A$2:$A$46,0)),"Unknown")</f>
        <v>Milk Products</v>
      </c>
      <c r="D556" t="str">
        <f t="array" ref="D556">IF(TRIM('Raw Data'!D556)&lt;&gt;"",TRIM('Raw Data'!D556),IFERROR(INDEX('Reference Table'!$A$2:$A$46,MATCH(VALUE('Raw Data'!E556),VALUE('Reference Table'!$B$2:$B$46),0)),"Unknown"))</f>
        <v>Milk_Paneer_200g</v>
      </c>
      <c r="E556">
        <f>IF('Raw Data'!E556&lt;&gt;"",'Raw Data'!E556,IFERROR(INDEX('Reference Table'!$B$2:$B$32,MATCH(D556,'Reference Table'!$A$2:$A$32,0)),""))</f>
        <v>80</v>
      </c>
      <c r="F556">
        <f>IF('Raw Data'!F556&lt;&gt;"",'Raw Data'!F556,IFERROR(ROUND('Raw Data'!G556/E556,0),""))</f>
        <v>6</v>
      </c>
      <c r="G556">
        <f>IF('Raw Data'!G556&lt;&gt;"",'Raw Data'!G556,IFERROR(ROUND(E556*F556,2),""))</f>
        <v>480</v>
      </c>
      <c r="H556" t="str">
        <f>'Raw Data'!H556</f>
        <v>Debit Card</v>
      </c>
      <c r="I556" t="str">
        <f>IF('Raw Data'!D556="",IF(D556="Unknown","Could not recover","Filled from Price lookup"),IF(TRIM('Raw Data'!D556)&lt;&gt;'Raw Data'!D556,"Trimmed whitespace","OK"))</f>
        <v>OK</v>
      </c>
      <c r="J556" t="str">
        <f t="shared" si="8"/>
        <v>OK</v>
      </c>
    </row>
    <row r="557" spans="1:10">
      <c r="A557" t="str">
        <f>'Raw Data'!A557</f>
        <v>TXN_1438</v>
      </c>
      <c r="B557" s="1">
        <f>'Raw Data'!B557</f>
        <v>45781</v>
      </c>
      <c r="C557" t="str">
        <f>IFERROR(INDEX('Reference Table'!$C$2:$C$46,MATCH(D557,'Reference Table'!$A$2:$A$46,0)),"Unknown")</f>
        <v>Patisserie</v>
      </c>
      <c r="D557" t="str">
        <f t="array" ref="D557">IF(TRIM('Raw Data'!D557)&lt;&gt;"",TRIM('Raw Data'!D557),IFERROR(INDEX('Reference Table'!$A$2:$A$46,MATCH(VALUE('Raw Data'!E557),VALUE('Reference Table'!$B$2:$B$46),0)),"Unknown"))</f>
        <v>Pat_Muffin</v>
      </c>
      <c r="E557">
        <f>IF('Raw Data'!E557&lt;&gt;"",'Raw Data'!E557,IFERROR(INDEX('Reference Table'!$B$2:$B$32,MATCH(D557,'Reference Table'!$A$2:$A$32,0)),""))</f>
        <v>35</v>
      </c>
      <c r="F557">
        <f>IF('Raw Data'!F557&lt;&gt;"",'Raw Data'!F557,IFERROR(ROUND('Raw Data'!G557/E557,0),""))</f>
        <v>5</v>
      </c>
      <c r="G557">
        <f>IF('Raw Data'!G557&lt;&gt;"",'Raw Data'!G557,IFERROR(ROUND(E557*F557,2),""))</f>
        <v>175</v>
      </c>
      <c r="H557" t="str">
        <f>'Raw Data'!H557</f>
        <v>Credit Card</v>
      </c>
      <c r="I557" t="str">
        <f>IF('Raw Data'!D557="",IF(D557="Unknown","Could not recover","Filled from Price lookup"),IF(TRIM('Raw Data'!D557)&lt;&gt;'Raw Data'!D557,"Trimmed whitespace","OK"))</f>
        <v>OK</v>
      </c>
      <c r="J557" t="str">
        <f t="shared" si="8"/>
        <v>OK</v>
      </c>
    </row>
    <row r="558" spans="1:10">
      <c r="A558" t="str">
        <f>'Raw Data'!A558</f>
        <v>TXN_1359</v>
      </c>
      <c r="B558" s="1">
        <f>'Raw Data'!B558</f>
        <v>45789</v>
      </c>
      <c r="C558" t="str">
        <f>IFERROR(INDEX('Reference Table'!$C$2:$C$46,MATCH(D558,'Reference Table'!$A$2:$A$46,0)),"Unknown")</f>
        <v>Butchers</v>
      </c>
      <c r="D558" t="str">
        <f t="array" ref="D558">IF(TRIM('Raw Data'!D558)&lt;&gt;"",TRIM('Raw Data'!D558),IFERROR(INDEX('Reference Table'!$A$2:$A$46,MATCH(VALUE('Raw Data'!E558),VALUE('Reference Table'!$B$2:$B$46),0)),"Unknown"))</f>
        <v>Meat_Chicken_1kg</v>
      </c>
      <c r="E558">
        <f>IF('Raw Data'!E558&lt;&gt;"",'Raw Data'!E558,IFERROR(INDEX('Reference Table'!$B$2:$B$32,MATCH(D558,'Reference Table'!$A$2:$A$32,0)),""))</f>
        <v>220</v>
      </c>
      <c r="F558">
        <f>IF('Raw Data'!F558&lt;&gt;"",'Raw Data'!F558,IFERROR(ROUND('Raw Data'!G558/E558,0),""))</f>
        <v>3</v>
      </c>
      <c r="G558">
        <f>IF('Raw Data'!G558&lt;&gt;"",'Raw Data'!G558,IFERROR(ROUND(E558*F558,2),""))</f>
        <v>660</v>
      </c>
      <c r="H558" t="str">
        <f>'Raw Data'!H558</f>
        <v>Mobile Payment</v>
      </c>
      <c r="I558" t="str">
        <f>IF('Raw Data'!D558="",IF(D558="Unknown","Could not recover","Filled from Price lookup"),IF(TRIM('Raw Data'!D558)&lt;&gt;'Raw Data'!D558,"Trimmed whitespace","OK"))</f>
        <v>OK</v>
      </c>
      <c r="J558" t="str">
        <f t="shared" si="8"/>
        <v>OK</v>
      </c>
    </row>
    <row r="559" spans="1:10">
      <c r="A559" t="str">
        <f>'Raw Data'!A559</f>
        <v>TXN_1214</v>
      </c>
      <c r="B559" s="1">
        <f>'Raw Data'!B559</f>
        <v>45669</v>
      </c>
      <c r="C559" t="str">
        <f>IFERROR(INDEX('Reference Table'!$C$2:$C$46,MATCH(D559,'Reference Table'!$A$2:$A$46,0)),"Unknown")</f>
        <v>Patisserie</v>
      </c>
      <c r="D559" t="str">
        <f t="array" ref="D559">IF(TRIM('Raw Data'!D559)&lt;&gt;"",TRIM('Raw Data'!D559),IFERROR(INDEX('Reference Table'!$A$2:$A$46,MATCH(VALUE('Raw Data'!E559),VALUE('Reference Table'!$B$2:$B$46),0)),"Unknown"))</f>
        <v>Pat_Cookie_Pack</v>
      </c>
      <c r="E559">
        <f>IF('Raw Data'!E559&lt;&gt;"",'Raw Data'!E559,IFERROR(INDEX('Reference Table'!$B$2:$B$32,MATCH(D559,'Reference Table'!$A$2:$A$32,0)),""))</f>
        <v>55</v>
      </c>
      <c r="F559">
        <f>IF('Raw Data'!F559&lt;&gt;"",'Raw Data'!F559,IFERROR(ROUND('Raw Data'!G559/E559,0),""))</f>
        <v>1</v>
      </c>
      <c r="G559">
        <f>IF('Raw Data'!G559&lt;&gt;"",'Raw Data'!G559,IFERROR(ROUND(E559*F559,2),""))</f>
        <v>55</v>
      </c>
      <c r="H559" t="str">
        <f>'Raw Data'!H559</f>
        <v>Debit Card</v>
      </c>
      <c r="I559" t="str">
        <f>IF('Raw Data'!D559="",IF(D559="Unknown","Could not recover","Filled from Price lookup"),IF(TRIM('Raw Data'!D559)&lt;&gt;'Raw Data'!D559,"Trimmed whitespace","OK"))</f>
        <v>OK</v>
      </c>
      <c r="J559" t="str">
        <f t="shared" si="8"/>
        <v>OK</v>
      </c>
    </row>
    <row r="560" spans="1:10">
      <c r="A560" t="str">
        <f>'Raw Data'!A560</f>
        <v>TXN_1242</v>
      </c>
      <c r="B560" s="1">
        <f>'Raw Data'!B560</f>
        <v>45757</v>
      </c>
      <c r="C560" t="str">
        <f>IFERROR(INDEX('Reference Table'!$C$2:$C$46,MATCH(D560,'Reference Table'!$A$2:$A$46,0)),"Unknown")</f>
        <v>Computers</v>
      </c>
      <c r="D560" t="str">
        <f t="array" ref="D560">IF(TRIM('Raw Data'!D560)&lt;&gt;"",TRIM('Raw Data'!D560),IFERROR(INDEX('Reference Table'!$A$2:$A$46,MATCH(VALUE('Raw Data'!E560),VALUE('Reference Table'!$B$2:$B$46),0)),"Unknown"))</f>
        <v>Comp_Webcam</v>
      </c>
      <c r="E560">
        <f>IF('Raw Data'!E560&lt;&gt;"",'Raw Data'!E560,IFERROR(INDEX('Reference Table'!$B$2:$B$32,MATCH(D560,'Reference Table'!$A$2:$A$32,0)),""))</f>
        <v>1200</v>
      </c>
      <c r="F560">
        <f>IF('Raw Data'!F560&lt;&gt;"",'Raw Data'!F560,IFERROR(ROUND('Raw Data'!G560/E560,0),""))</f>
        <v>2</v>
      </c>
      <c r="G560">
        <f>IF('Raw Data'!G560&lt;&gt;"",'Raw Data'!G560,IFERROR(ROUND(E560*F560,2),""))</f>
        <v>3600</v>
      </c>
      <c r="H560" t="str">
        <f>'Raw Data'!H560</f>
        <v>Mobile Payment</v>
      </c>
      <c r="I560" t="str">
        <f>IF('Raw Data'!D560="",IF(D560="Unknown","Could not recover","Filled from Price lookup"),IF(TRIM('Raw Data'!D560)&lt;&gt;'Raw Data'!D560,"Trimmed whitespace","OK"))</f>
        <v>OK</v>
      </c>
      <c r="J560" t="str">
        <f t="shared" si="8"/>
        <v>Mismatch</v>
      </c>
    </row>
    <row r="561" spans="1:10">
      <c r="A561" t="str">
        <f>'Raw Data'!A561</f>
        <v>TXN_1120</v>
      </c>
      <c r="B561" s="1">
        <f>'Raw Data'!B561</f>
        <v>45887</v>
      </c>
      <c r="C561" t="str">
        <f>IFERROR(INDEX('Reference Table'!$C$2:$C$46,MATCH(D561,'Reference Table'!$A$2:$A$46,0)),"Unknown")</f>
        <v>Computers</v>
      </c>
      <c r="D561" t="str">
        <f t="array" ref="D561">IF(TRIM('Raw Data'!D561)&lt;&gt;"",TRIM('Raw Data'!D561),IFERROR(INDEX('Reference Table'!$A$2:$A$46,MATCH(VALUE('Raw Data'!E561),VALUE('Reference Table'!$B$2:$B$46),0)),"Unknown"))</f>
        <v>Comp_Webcam</v>
      </c>
      <c r="E561">
        <f>IF('Raw Data'!E561&lt;&gt;"",'Raw Data'!E561,IFERROR(INDEX('Reference Table'!$B$2:$B$32,MATCH(D561,'Reference Table'!$A$2:$A$32,0)),""))</f>
        <v>1200</v>
      </c>
      <c r="F561">
        <f>IF('Raw Data'!F561&lt;&gt;"",'Raw Data'!F561,IFERROR(ROUND('Raw Data'!G561/E561,0),""))</f>
        <v>5</v>
      </c>
      <c r="G561">
        <f>IF('Raw Data'!G561&lt;&gt;"",'Raw Data'!G561,IFERROR(ROUND(E561*F561,2),""))</f>
        <v>6000</v>
      </c>
      <c r="H561" t="str">
        <f>'Raw Data'!H561</f>
        <v>Credit Card</v>
      </c>
      <c r="I561" t="str">
        <f>IF('Raw Data'!D561="",IF(D561="Unknown","Could not recover","Filled from Price lookup"),IF(TRIM('Raw Data'!D561)&lt;&gt;'Raw Data'!D561,"Trimmed whitespace","OK"))</f>
        <v>OK</v>
      </c>
      <c r="J561" t="str">
        <f t="shared" si="8"/>
        <v>OK</v>
      </c>
    </row>
    <row r="562" spans="1:10">
      <c r="A562" t="str">
        <f>'Raw Data'!A562</f>
        <v>TXN_1449</v>
      </c>
      <c r="B562" s="1">
        <f>'Raw Data'!B562</f>
        <v>45841</v>
      </c>
      <c r="C562" t="str">
        <f>IFERROR(INDEX('Reference Table'!$C$2:$C$46,MATCH(D562,'Reference Table'!$A$2:$A$46,0)),"Unknown")</f>
        <v>Electric Accessories</v>
      </c>
      <c r="D562" t="str">
        <f t="array" ref="D562">IF(TRIM('Raw Data'!D562)&lt;&gt;"",TRIM('Raw Data'!D562),IFERROR(INDEX('Reference Table'!$A$2:$A$46,MATCH(VALUE('Raw Data'!E562),VALUE('Reference Table'!$B$2:$B$46),0)),"Unknown"))</f>
        <v>Elec_Charger</v>
      </c>
      <c r="E562">
        <f>IF('Raw Data'!E562&lt;&gt;"",'Raw Data'!E562,IFERROR(INDEX('Reference Table'!$B$2:$B$32,MATCH(D562,'Reference Table'!$A$2:$A$32,0)),""))</f>
        <v>400</v>
      </c>
      <c r="F562">
        <f>IF('Raw Data'!F562&lt;&gt;"",'Raw Data'!F562,IFERROR(ROUND('Raw Data'!G562/E562,0),""))</f>
        <v>3</v>
      </c>
      <c r="G562">
        <f>IF('Raw Data'!G562&lt;&gt;"",'Raw Data'!G562,IFERROR(ROUND(E562*F562,2),""))</f>
        <v>1200</v>
      </c>
      <c r="H562" t="str">
        <f>'Raw Data'!H562</f>
        <v>Mobile Payment</v>
      </c>
      <c r="I562" t="str">
        <f>IF('Raw Data'!D562="",IF(D562="Unknown","Could not recover","Filled from Price lookup"),IF(TRIM('Raw Data'!D562)&lt;&gt;'Raw Data'!D562,"Trimmed whitespace","OK"))</f>
        <v>Filled from Price lookup</v>
      </c>
      <c r="J562" t="str">
        <f t="shared" si="8"/>
        <v>OK</v>
      </c>
    </row>
    <row r="563" spans="1:10">
      <c r="A563" t="str">
        <f>'Raw Data'!A563</f>
        <v>TXN_1089</v>
      </c>
      <c r="B563" s="1">
        <f>'Raw Data'!B563</f>
        <v>45746</v>
      </c>
      <c r="C563" t="str">
        <f>IFERROR(INDEX('Reference Table'!$C$2:$C$46,MATCH(D563,'Reference Table'!$A$2:$A$46,0)),"Unknown")</f>
        <v>Furniture</v>
      </c>
      <c r="D563" t="str">
        <f t="array" ref="D563">IF(TRIM('Raw Data'!D563)&lt;&gt;"",TRIM('Raw Data'!D563),IFERROR(INDEX('Reference Table'!$A$2:$A$46,MATCH(VALUE('Raw Data'!E563),VALUE('Reference Table'!$B$2:$B$46),0)),"Unknown"))</f>
        <v>Furn_Shelf</v>
      </c>
      <c r="E563">
        <f>IF('Raw Data'!E563&lt;&gt;"",'Raw Data'!E563,IFERROR(INDEX('Reference Table'!$B$2:$B$32,MATCH(D563,'Reference Table'!$A$2:$A$32,0)),""))</f>
        <v>1800</v>
      </c>
      <c r="F563">
        <f>IF('Raw Data'!F563&lt;&gt;"",'Raw Data'!F563,IFERROR(ROUND('Raw Data'!G563/E563,0),""))</f>
        <v>4</v>
      </c>
      <c r="G563">
        <f>IF('Raw Data'!G563&lt;&gt;"",'Raw Data'!G563,IFERROR(ROUND(E563*F563,2),""))</f>
        <v>7200</v>
      </c>
      <c r="H563" t="str">
        <f>'Raw Data'!H563</f>
        <v>Debit Card</v>
      </c>
      <c r="I563" t="str">
        <f>IF('Raw Data'!D563="",IF(D563="Unknown","Could not recover","Filled from Price lookup"),IF(TRIM('Raw Data'!D563)&lt;&gt;'Raw Data'!D563,"Trimmed whitespace","OK"))</f>
        <v>Trimmed whitespace</v>
      </c>
      <c r="J563" t="str">
        <f t="shared" si="8"/>
        <v>OK</v>
      </c>
    </row>
    <row r="564" spans="1:10">
      <c r="A564" t="str">
        <f>'Raw Data'!A564</f>
        <v>TXN_1356</v>
      </c>
      <c r="B564" s="1">
        <f>'Raw Data'!B564</f>
        <v>45776</v>
      </c>
      <c r="C564" t="str">
        <f>IFERROR(INDEX('Reference Table'!$C$2:$C$46,MATCH(D564,'Reference Table'!$A$2:$A$46,0)),"Unknown")</f>
        <v>Milk Products</v>
      </c>
      <c r="D564" t="str">
        <f t="array" ref="D564">IF(TRIM('Raw Data'!D564)&lt;&gt;"",TRIM('Raw Data'!D564),IFERROR(INDEX('Reference Table'!$A$2:$A$46,MATCH(VALUE('Raw Data'!E564),VALUE('Reference Table'!$B$2:$B$46),0)),"Unknown"))</f>
        <v>Milk_Butter_500g</v>
      </c>
      <c r="E564">
        <f>IF('Raw Data'!E564&lt;&gt;"",'Raw Data'!E564,IFERROR(INDEX('Reference Table'!$B$2:$B$32,MATCH(D564,'Reference Table'!$A$2:$A$32,0)),""))</f>
        <v>250</v>
      </c>
      <c r="F564">
        <f>IF('Raw Data'!F564&lt;&gt;"",'Raw Data'!F564,IFERROR(ROUND('Raw Data'!G564/E564,0),""))</f>
        <v>6</v>
      </c>
      <c r="G564">
        <f>IF('Raw Data'!G564&lt;&gt;"",'Raw Data'!G564,IFERROR(ROUND(E564*F564,2),""))</f>
        <v>1500</v>
      </c>
      <c r="H564" t="str">
        <f>'Raw Data'!H564</f>
        <v>Mobile Payment</v>
      </c>
      <c r="I564" t="str">
        <f>IF('Raw Data'!D564="",IF(D564="Unknown","Could not recover","Filled from Price lookup"),IF(TRIM('Raw Data'!D564)&lt;&gt;'Raw Data'!D564,"Trimmed whitespace","OK"))</f>
        <v>OK</v>
      </c>
      <c r="J564" t="str">
        <f t="shared" si="8"/>
        <v>OK</v>
      </c>
    </row>
    <row r="565" spans="1:10">
      <c r="A565" t="str">
        <f>'Raw Data'!A565</f>
        <v>TXN_1269</v>
      </c>
      <c r="B565" s="1">
        <f>'Raw Data'!B565</f>
        <v>45767</v>
      </c>
      <c r="C565" t="str">
        <f>IFERROR(INDEX('Reference Table'!$C$2:$C$46,MATCH(D565,'Reference Table'!$A$2:$A$46,0)),"Unknown")</f>
        <v>Food</v>
      </c>
      <c r="D565" t="str">
        <f t="array" ref="D565">IF(TRIM('Raw Data'!D565)&lt;&gt;"",TRIM('Raw Data'!D565),IFERROR(INDEX('Reference Table'!$A$2:$A$46,MATCH(VALUE('Raw Data'!E565),VALUE('Reference Table'!$B$2:$B$46),0)),"Unknown"))</f>
        <v>Food_Wheat_1kg</v>
      </c>
      <c r="E565">
        <f>IF('Raw Data'!E565&lt;&gt;"",'Raw Data'!E565,IFERROR(INDEX('Reference Table'!$B$2:$B$32,MATCH(D565,'Reference Table'!$A$2:$A$32,0)),""))</f>
        <v>55</v>
      </c>
      <c r="F565">
        <f>IF('Raw Data'!F565&lt;&gt;"",'Raw Data'!F565,IFERROR(ROUND('Raw Data'!G565/E565,0),""))</f>
        <v>3</v>
      </c>
      <c r="G565">
        <f>IF('Raw Data'!G565&lt;&gt;"",'Raw Data'!G565,IFERROR(ROUND(E565*F565,2),""))</f>
        <v>165</v>
      </c>
      <c r="H565" t="str">
        <f>'Raw Data'!H565</f>
        <v>Debit Card</v>
      </c>
      <c r="I565" t="str">
        <f>IF('Raw Data'!D565="",IF(D565="Unknown","Could not recover","Filled from Price lookup"),IF(TRIM('Raw Data'!D565)&lt;&gt;'Raw Data'!D565,"Trimmed whitespace","OK"))</f>
        <v>OK</v>
      </c>
      <c r="J565" t="str">
        <f t="shared" si="8"/>
        <v>OK</v>
      </c>
    </row>
    <row r="566" spans="1:10">
      <c r="A566" t="str">
        <f>'Raw Data'!A566</f>
        <v>TXN_1460</v>
      </c>
      <c r="B566" s="1">
        <f>'Raw Data'!B566</f>
        <v>45723</v>
      </c>
      <c r="C566" t="str">
        <f>IFERROR(INDEX('Reference Table'!$C$2:$C$46,MATCH(D566,'Reference Table'!$A$2:$A$46,0)),"Unknown")</f>
        <v>Electric Accessories</v>
      </c>
      <c r="D566" t="str">
        <f t="array" ref="D566">IF(TRIM('Raw Data'!D566)&lt;&gt;"",TRIM('Raw Data'!D566),IFERROR(INDEX('Reference Table'!$A$2:$A$46,MATCH(VALUE('Raw Data'!E566),VALUE('Reference Table'!$B$2:$B$46),0)),"Unknown"))</f>
        <v>Elec_Powerbank</v>
      </c>
      <c r="E566">
        <f>IF('Raw Data'!E566&lt;&gt;"",'Raw Data'!E566,IFERROR(INDEX('Reference Table'!$B$2:$B$32,MATCH(D566,'Reference Table'!$A$2:$A$32,0)),""))</f>
        <v>900</v>
      </c>
      <c r="F566">
        <f>IF('Raw Data'!F566&lt;&gt;"",'Raw Data'!F566,IFERROR(ROUND('Raw Data'!G566/E566,0),""))</f>
        <v>6</v>
      </c>
      <c r="G566">
        <f>IF('Raw Data'!G566&lt;&gt;"",'Raw Data'!G566,IFERROR(ROUND(E566*F566,2),""))</f>
        <v>5400</v>
      </c>
      <c r="H566" t="str">
        <f>'Raw Data'!H566</f>
        <v>Credit Card</v>
      </c>
      <c r="I566" t="str">
        <f>IF('Raw Data'!D566="",IF(D566="Unknown","Could not recover","Filled from Price lookup"),IF(TRIM('Raw Data'!D566)&lt;&gt;'Raw Data'!D566,"Trimmed whitespace","OK"))</f>
        <v>Filled from Price lookup</v>
      </c>
      <c r="J566" t="str">
        <f t="shared" si="8"/>
        <v>OK</v>
      </c>
    </row>
    <row r="567" spans="1:10">
      <c r="A567" t="str">
        <f>'Raw Data'!A567</f>
        <v>TXN_1590</v>
      </c>
      <c r="B567" s="1">
        <f>'Raw Data'!B567</f>
        <v>45665</v>
      </c>
      <c r="C567" t="str">
        <f>IFERROR(INDEX('Reference Table'!$C$2:$C$46,MATCH(D567,'Reference Table'!$A$2:$A$46,0)),"Unknown")</f>
        <v>Electric Accessories</v>
      </c>
      <c r="D567" t="str">
        <f t="array" ref="D567">IF(TRIM('Raw Data'!D567)&lt;&gt;"",TRIM('Raw Data'!D567),IFERROR(INDEX('Reference Table'!$A$2:$A$46,MATCH(VALUE('Raw Data'!E567),VALUE('Reference Table'!$B$2:$B$46),0)),"Unknown"))</f>
        <v>Elec_Earphones</v>
      </c>
      <c r="E567">
        <f>IF('Raw Data'!E567&lt;&gt;"",'Raw Data'!E567,IFERROR(INDEX('Reference Table'!$B$2:$B$32,MATCH(D567,'Reference Table'!$A$2:$A$32,0)),""))</f>
        <v>350</v>
      </c>
      <c r="F567">
        <f>IF('Raw Data'!F567&lt;&gt;"",'Raw Data'!F567,IFERROR(ROUND('Raw Data'!G567/E567,0),""))</f>
        <v>4</v>
      </c>
      <c r="G567">
        <f>IF('Raw Data'!G567&lt;&gt;"",'Raw Data'!G567,IFERROR(ROUND(E567*F567,2),""))</f>
        <v>1400</v>
      </c>
      <c r="H567" t="str">
        <f>'Raw Data'!H567</f>
        <v>Credit Card</v>
      </c>
      <c r="I567" t="str">
        <f>IF('Raw Data'!D567="",IF(D567="Unknown","Could not recover","Filled from Price lookup"),IF(TRIM('Raw Data'!D567)&lt;&gt;'Raw Data'!D567,"Trimmed whitespace","OK"))</f>
        <v>Trimmed whitespace</v>
      </c>
      <c r="J567" t="str">
        <f t="shared" si="8"/>
        <v>OK</v>
      </c>
    </row>
    <row r="568" spans="1:10">
      <c r="A568" t="str">
        <f>'Raw Data'!A568</f>
        <v>TXN_1304</v>
      </c>
      <c r="B568" s="1">
        <f>'Raw Data'!B568</f>
        <v>45855</v>
      </c>
      <c r="C568" t="str">
        <f>IFERROR(INDEX('Reference Table'!$C$2:$C$46,MATCH(D568,'Reference Table'!$A$2:$A$46,0)),"Unknown")</f>
        <v>Beverages</v>
      </c>
      <c r="D568" t="str">
        <f t="array" ref="D568">IF(TRIM('Raw Data'!D568)&lt;&gt;"",TRIM('Raw Data'!D568),IFERROR(INDEX('Reference Table'!$A$2:$A$46,MATCH(VALUE('Raw Data'!E568),VALUE('Reference Table'!$B$2:$B$46),0)),"Unknown"))</f>
        <v>Bev_Tea_100g</v>
      </c>
      <c r="E568">
        <f>IF('Raw Data'!E568&lt;&gt;"",'Raw Data'!E568,IFERROR(INDEX('Reference Table'!$B$2:$B$32,MATCH(D568,'Reference Table'!$A$2:$A$32,0)),""))</f>
        <v>90</v>
      </c>
      <c r="F568">
        <f>IF('Raw Data'!F568&lt;&gt;"",'Raw Data'!F568,IFERROR(ROUND('Raw Data'!G568/E568,0),""))</f>
        <v>2</v>
      </c>
      <c r="G568">
        <f>IF('Raw Data'!G568&lt;&gt;"",'Raw Data'!G568,IFERROR(ROUND(E568*F568,2),""))</f>
        <v>180</v>
      </c>
      <c r="H568" t="str">
        <f>'Raw Data'!H568</f>
        <v>Mobile Payment</v>
      </c>
      <c r="I568" t="str">
        <f>IF('Raw Data'!D568="",IF(D568="Unknown","Could not recover","Filled from Price lookup"),IF(TRIM('Raw Data'!D568)&lt;&gt;'Raw Data'!D568,"Trimmed whitespace","OK"))</f>
        <v>OK</v>
      </c>
      <c r="J568" t="str">
        <f t="shared" si="8"/>
        <v>OK</v>
      </c>
    </row>
    <row r="569" spans="1:10">
      <c r="A569" t="str">
        <f>'Raw Data'!A569</f>
        <v>TXN_1253</v>
      </c>
      <c r="B569" s="1">
        <f>'Raw Data'!B569</f>
        <v>45728</v>
      </c>
      <c r="C569" t="str">
        <f>IFERROR(INDEX('Reference Table'!$C$2:$C$46,MATCH(D569,'Reference Table'!$A$2:$A$46,0)),"Unknown")</f>
        <v>Furniture</v>
      </c>
      <c r="D569" t="str">
        <f t="array" ref="D569">IF(TRIM('Raw Data'!D569)&lt;&gt;"",TRIM('Raw Data'!D569),IFERROR(INDEX('Reference Table'!$A$2:$A$46,MATCH(VALUE('Raw Data'!E569),VALUE('Reference Table'!$B$2:$B$46),0)),"Unknown"))</f>
        <v>Furn_Shelf</v>
      </c>
      <c r="E569">
        <f>IF('Raw Data'!E569&lt;&gt;"",'Raw Data'!E569,IFERROR(INDEX('Reference Table'!$B$2:$B$32,MATCH(D569,'Reference Table'!$A$2:$A$32,0)),""))</f>
        <v>1800</v>
      </c>
      <c r="F569">
        <f>IF('Raw Data'!F569&lt;&gt;"",'Raw Data'!F569,IFERROR(ROUND('Raw Data'!G569/E569,0),""))</f>
        <v>1</v>
      </c>
      <c r="G569">
        <f>IF('Raw Data'!G569&lt;&gt;"",'Raw Data'!G569,IFERROR(ROUND(E569*F569,2),""))</f>
        <v>1800</v>
      </c>
      <c r="H569" t="str">
        <f>'Raw Data'!H569</f>
        <v>Credit Card</v>
      </c>
      <c r="I569" t="str">
        <f>IF('Raw Data'!D569="",IF(D569="Unknown","Could not recover","Filled from Price lookup"),IF(TRIM('Raw Data'!D569)&lt;&gt;'Raw Data'!D569,"Trimmed whitespace","OK"))</f>
        <v>OK</v>
      </c>
      <c r="J569" t="str">
        <f t="shared" si="8"/>
        <v>OK</v>
      </c>
    </row>
    <row r="570" spans="1:10">
      <c r="A570" t="str">
        <f>'Raw Data'!A570</f>
        <v>TXN_1104</v>
      </c>
      <c r="B570" s="1">
        <f>'Raw Data'!B570</f>
        <v>45841</v>
      </c>
      <c r="C570" t="str">
        <f>IFERROR(INDEX('Reference Table'!$C$2:$C$46,MATCH(D570,'Reference Table'!$A$2:$A$46,0)),"Unknown")</f>
        <v>Furniture</v>
      </c>
      <c r="D570" t="str">
        <f t="array" ref="D570">IF(TRIM('Raw Data'!D570)&lt;&gt;"",TRIM('Raw Data'!D570),IFERROR(INDEX('Reference Table'!$A$2:$A$46,MATCH(VALUE('Raw Data'!E570),VALUE('Reference Table'!$B$2:$B$46),0)),"Unknown"))</f>
        <v>Furn_Small_Table</v>
      </c>
      <c r="E570">
        <f>IF('Raw Data'!E570&lt;&gt;"",'Raw Data'!E570,IFERROR(INDEX('Reference Table'!$B$2:$B$32,MATCH(D570,'Reference Table'!$A$2:$A$32,0)),""))</f>
        <v>3200</v>
      </c>
      <c r="F570">
        <f>IF('Raw Data'!F570&lt;&gt;"",'Raw Data'!F570,IFERROR(ROUND('Raw Data'!G570/E570,0),""))</f>
        <v>2</v>
      </c>
      <c r="G570">
        <f>IF('Raw Data'!G570&lt;&gt;"",'Raw Data'!G570,IFERROR(ROUND(E570*F570,2),""))</f>
        <v>6400</v>
      </c>
      <c r="H570" t="str">
        <f>'Raw Data'!H570</f>
        <v>Mobile Payment</v>
      </c>
      <c r="I570" t="str">
        <f>IF('Raw Data'!D570="",IF(D570="Unknown","Could not recover","Filled from Price lookup"),IF(TRIM('Raw Data'!D570)&lt;&gt;'Raw Data'!D570,"Trimmed whitespace","OK"))</f>
        <v>OK</v>
      </c>
      <c r="J570" t="str">
        <f t="shared" si="8"/>
        <v>OK</v>
      </c>
    </row>
    <row r="571" spans="1:10">
      <c r="A571" t="str">
        <f>'Raw Data'!A571</f>
        <v>TXN_1435</v>
      </c>
      <c r="B571" s="1">
        <f>'Raw Data'!B571</f>
        <v>45693</v>
      </c>
      <c r="C571" t="str">
        <f>IFERROR(INDEX('Reference Table'!$C$2:$C$46,MATCH(D571,'Reference Table'!$A$2:$A$46,0)),"Unknown")</f>
        <v>Beverages</v>
      </c>
      <c r="D571" t="str">
        <f t="array" ref="D571">IF(TRIM('Raw Data'!D571)&lt;&gt;"",TRIM('Raw Data'!D571),IFERROR(INDEX('Reference Table'!$A$2:$A$46,MATCH(VALUE('Raw Data'!E571),VALUE('Reference Table'!$B$2:$B$46),0)),"Unknown"))</f>
        <v>Bev_Coffee_200g</v>
      </c>
      <c r="E571">
        <f>IF('Raw Data'!E571&lt;&gt;"",'Raw Data'!E571,IFERROR(INDEX('Reference Table'!$B$2:$B$32,MATCH(D571,'Reference Table'!$A$2:$A$32,0)),""))</f>
        <v>180</v>
      </c>
      <c r="F571">
        <f>IF('Raw Data'!F571&lt;&gt;"",'Raw Data'!F571,IFERROR(ROUND('Raw Data'!G571/E571,0),""))</f>
        <v>6</v>
      </c>
      <c r="G571">
        <f>IF('Raw Data'!G571&lt;&gt;"",'Raw Data'!G571,IFERROR(ROUND(E571*F571,2),""))</f>
        <v>1080</v>
      </c>
      <c r="H571" t="str">
        <f>'Raw Data'!H571</f>
        <v>Credit Card</v>
      </c>
      <c r="I571" t="str">
        <f>IF('Raw Data'!D571="",IF(D571="Unknown","Could not recover","Filled from Price lookup"),IF(TRIM('Raw Data'!D571)&lt;&gt;'Raw Data'!D571,"Trimmed whitespace","OK"))</f>
        <v>OK</v>
      </c>
      <c r="J571" t="str">
        <f t="shared" si="8"/>
        <v>OK</v>
      </c>
    </row>
    <row r="572" spans="1:10">
      <c r="A572" t="str">
        <f>'Raw Data'!A572</f>
        <v>TXN_1223</v>
      </c>
      <c r="B572" s="1">
        <f>'Raw Data'!B572</f>
        <v>45755</v>
      </c>
      <c r="C572" t="str">
        <f>IFERROR(INDEX('Reference Table'!$C$2:$C$46,MATCH(D572,'Reference Table'!$A$2:$A$46,0)),"Unknown")</f>
        <v>Food</v>
      </c>
      <c r="D572" t="str">
        <f t="array" ref="D572">IF(TRIM('Raw Data'!D572)&lt;&gt;"",TRIM('Raw Data'!D572),IFERROR(INDEX('Reference Table'!$A$2:$A$46,MATCH(VALUE('Raw Data'!E572),VALUE('Reference Table'!$B$2:$B$46),0)),"Unknown"))</f>
        <v>Food_Wheat_1kg</v>
      </c>
      <c r="E572">
        <f>IF('Raw Data'!E572&lt;&gt;"",'Raw Data'!E572,IFERROR(INDEX('Reference Table'!$B$2:$B$32,MATCH(D572,'Reference Table'!$A$2:$A$32,0)),""))</f>
        <v>55</v>
      </c>
      <c r="F572">
        <f>IF('Raw Data'!F572&lt;&gt;"",'Raw Data'!F572,IFERROR(ROUND('Raw Data'!G572/E572,0),""))</f>
        <v>2</v>
      </c>
      <c r="G572">
        <f>IF('Raw Data'!G572&lt;&gt;"",'Raw Data'!G572,IFERROR(ROUND(E572*F572,2),""))</f>
        <v>110</v>
      </c>
      <c r="H572" t="str">
        <f>'Raw Data'!H572</f>
        <v>Debit Card</v>
      </c>
      <c r="I572" t="str">
        <f>IF('Raw Data'!D572="",IF(D572="Unknown","Could not recover","Filled from Price lookup"),IF(TRIM('Raw Data'!D572)&lt;&gt;'Raw Data'!D572,"Trimmed whitespace","OK"))</f>
        <v>OK</v>
      </c>
      <c r="J572" t="str">
        <f t="shared" si="8"/>
        <v>OK</v>
      </c>
    </row>
    <row r="573" spans="1:10">
      <c r="A573" t="str">
        <f>'Raw Data'!A573</f>
        <v>TXN_1559</v>
      </c>
      <c r="B573" s="1">
        <f>'Raw Data'!B573</f>
        <v>45765</v>
      </c>
      <c r="C573" t="str">
        <f>IFERROR(INDEX('Reference Table'!$C$2:$C$46,MATCH(D573,'Reference Table'!$A$2:$A$46,0)),"Unknown")</f>
        <v>Electric Accessories</v>
      </c>
      <c r="D573" t="str">
        <f t="array" ref="D573">IF(TRIM('Raw Data'!D573)&lt;&gt;"",TRIM('Raw Data'!D573),IFERROR(INDEX('Reference Table'!$A$2:$A$46,MATCH(VALUE('Raw Data'!E573),VALUE('Reference Table'!$B$2:$B$46),0)),"Unknown"))</f>
        <v>Elec_Earphones</v>
      </c>
      <c r="E573">
        <f>IF('Raw Data'!E573&lt;&gt;"",'Raw Data'!E573,IFERROR(INDEX('Reference Table'!$B$2:$B$32,MATCH(D573,'Reference Table'!$A$2:$A$32,0)),""))</f>
        <v>350</v>
      </c>
      <c r="F573">
        <f>IF('Raw Data'!F573&lt;&gt;"",'Raw Data'!F573,IFERROR(ROUND('Raw Data'!G573/E573,0),""))</f>
        <v>3</v>
      </c>
      <c r="G573">
        <f>IF('Raw Data'!G573&lt;&gt;"",'Raw Data'!G573,IFERROR(ROUND(E573*F573,2),""))</f>
        <v>1050</v>
      </c>
      <c r="H573" t="str">
        <f>'Raw Data'!H573</f>
        <v>Debit Card</v>
      </c>
      <c r="I573" t="str">
        <f>IF('Raw Data'!D573="",IF(D573="Unknown","Could not recover","Filled from Price lookup"),IF(TRIM('Raw Data'!D573)&lt;&gt;'Raw Data'!D573,"Trimmed whitespace","OK"))</f>
        <v>OK</v>
      </c>
      <c r="J573" t="str">
        <f t="shared" si="8"/>
        <v>OK</v>
      </c>
    </row>
    <row r="574" spans="1:10">
      <c r="A574" t="str">
        <f>'Raw Data'!A574</f>
        <v>TXN_1451</v>
      </c>
      <c r="B574" s="1">
        <f>'Raw Data'!B574</f>
        <v>45824</v>
      </c>
      <c r="C574" t="str">
        <f>IFERROR(INDEX('Reference Table'!$C$2:$C$46,MATCH(D574,'Reference Table'!$A$2:$A$46,0)),"Unknown")</f>
        <v>Computers</v>
      </c>
      <c r="D574" t="str">
        <f t="array" ref="D574">IF(TRIM('Raw Data'!D574)&lt;&gt;"",TRIM('Raw Data'!D574),IFERROR(INDEX('Reference Table'!$A$2:$A$46,MATCH(VALUE('Raw Data'!E574),VALUE('Reference Table'!$B$2:$B$46),0)),"Unknown"))</f>
        <v>Comp_Mouse</v>
      </c>
      <c r="E574">
        <f>IF('Raw Data'!E574&lt;&gt;"",'Raw Data'!E574,IFERROR(INDEX('Reference Table'!$B$2:$B$32,MATCH(D574,'Reference Table'!$A$2:$A$32,0)),""))</f>
        <v>500</v>
      </c>
      <c r="F574">
        <f>IF('Raw Data'!F574&lt;&gt;"",'Raw Data'!F574,IFERROR(ROUND('Raw Data'!G574/E574,0),""))</f>
        <v>4</v>
      </c>
      <c r="G574">
        <f>IF('Raw Data'!G574&lt;&gt;"",'Raw Data'!G574,IFERROR(ROUND(E574*F574,2),""))</f>
        <v>2000</v>
      </c>
      <c r="H574" t="str">
        <f>'Raw Data'!H574</f>
        <v>Credit Card</v>
      </c>
      <c r="I574" t="str">
        <f>IF('Raw Data'!D574="",IF(D574="Unknown","Could not recover","Filled from Price lookup"),IF(TRIM('Raw Data'!D574)&lt;&gt;'Raw Data'!D574,"Trimmed whitespace","OK"))</f>
        <v>OK</v>
      </c>
      <c r="J574" t="str">
        <f t="shared" si="8"/>
        <v>OK</v>
      </c>
    </row>
    <row r="575" spans="1:10">
      <c r="A575" t="str">
        <f>'Raw Data'!A575</f>
        <v>TXN_1042</v>
      </c>
      <c r="B575" s="1">
        <f>'Raw Data'!B575</f>
        <v>45839</v>
      </c>
      <c r="C575" t="str">
        <f>IFERROR(INDEX('Reference Table'!$C$2:$C$46,MATCH(D575,'Reference Table'!$A$2:$A$46,0)),"Unknown")</f>
        <v>Beverages</v>
      </c>
      <c r="D575" t="str">
        <f t="array" ref="D575">IF(TRIM('Raw Data'!D575)&lt;&gt;"",TRIM('Raw Data'!D575),IFERROR(INDEX('Reference Table'!$A$2:$A$46,MATCH(VALUE('Raw Data'!E575),VALUE('Reference Table'!$B$2:$B$46),0)),"Unknown"))</f>
        <v>Bev_Cola_1L</v>
      </c>
      <c r="E575">
        <f>IF('Raw Data'!E575&lt;&gt;"",'Raw Data'!E575,IFERROR(INDEX('Reference Table'!$B$2:$B$32,MATCH(D575,'Reference Table'!$A$2:$A$32,0)),""))</f>
        <v>60</v>
      </c>
      <c r="F575">
        <f>IF('Raw Data'!F575&lt;&gt;"",'Raw Data'!F575,IFERROR(ROUND('Raw Data'!G575/E575,0),""))</f>
        <v>1</v>
      </c>
      <c r="G575">
        <f>IF('Raw Data'!G575&lt;&gt;"",'Raw Data'!G575,IFERROR(ROUND(E575*F575,2),""))</f>
        <v>60</v>
      </c>
      <c r="H575" t="str">
        <f>'Raw Data'!H575</f>
        <v>Cash</v>
      </c>
      <c r="I575" t="str">
        <f>IF('Raw Data'!D575="",IF(D575="Unknown","Could not recover","Filled from Price lookup"),IF(TRIM('Raw Data'!D575)&lt;&gt;'Raw Data'!D575,"Trimmed whitespace","OK"))</f>
        <v>OK</v>
      </c>
      <c r="J575" t="str">
        <f t="shared" si="8"/>
        <v>OK</v>
      </c>
    </row>
    <row r="576" spans="1:10">
      <c r="A576" t="str">
        <f>'Raw Data'!A576</f>
        <v>TXN_1555</v>
      </c>
      <c r="B576" s="1">
        <f>'Raw Data'!B576</f>
        <v>45661</v>
      </c>
      <c r="C576" t="str">
        <f>IFERROR(INDEX('Reference Table'!$C$2:$C$46,MATCH(D576,'Reference Table'!$A$2:$A$46,0)),"Unknown")</f>
        <v>Butchers</v>
      </c>
      <c r="D576" t="str">
        <f t="array" ref="D576">IF(TRIM('Raw Data'!D576)&lt;&gt;"",TRIM('Raw Data'!D576),IFERROR(INDEX('Reference Table'!$A$2:$A$46,MATCH(VALUE('Raw Data'!E576),VALUE('Reference Table'!$B$2:$B$46),0)),"Unknown"))</f>
        <v>Meat_Chicken_1kg</v>
      </c>
      <c r="E576">
        <f>IF('Raw Data'!E576&lt;&gt;"",'Raw Data'!E576,IFERROR(INDEX('Reference Table'!$B$2:$B$32,MATCH(D576,'Reference Table'!$A$2:$A$32,0)),""))</f>
        <v>220</v>
      </c>
      <c r="F576">
        <f>IF('Raw Data'!F576&lt;&gt;"",'Raw Data'!F576,IFERROR(ROUND('Raw Data'!G576/E576,0),""))</f>
        <v>4</v>
      </c>
      <c r="G576">
        <f>IF('Raw Data'!G576&lt;&gt;"",'Raw Data'!G576,IFERROR(ROUND(E576*F576,2),""))</f>
        <v>880</v>
      </c>
      <c r="H576" t="str">
        <f>'Raw Data'!H576</f>
        <v>Debit Card</v>
      </c>
      <c r="I576" t="str">
        <f>IF('Raw Data'!D576="",IF(D576="Unknown","Could not recover","Filled from Price lookup"),IF(TRIM('Raw Data'!D576)&lt;&gt;'Raw Data'!D576,"Trimmed whitespace","OK"))</f>
        <v>OK</v>
      </c>
      <c r="J576" t="str">
        <f t="shared" si="8"/>
        <v>OK</v>
      </c>
    </row>
    <row r="577" spans="1:10">
      <c r="A577" t="str">
        <f>'Raw Data'!A577</f>
        <v>TXN_1375</v>
      </c>
      <c r="B577" s="1">
        <f>'Raw Data'!B577</f>
        <v>45771</v>
      </c>
      <c r="C577" t="str">
        <f>IFERROR(INDEX('Reference Table'!$C$2:$C$46,MATCH(D577,'Reference Table'!$A$2:$A$46,0)),"Unknown")</f>
        <v>Butchers</v>
      </c>
      <c r="D577" t="str">
        <f t="array" ref="D577">IF(TRIM('Raw Data'!D577)&lt;&gt;"",TRIM('Raw Data'!D577),IFERROR(INDEX('Reference Table'!$A$2:$A$46,MATCH(VALUE('Raw Data'!E577),VALUE('Reference Table'!$B$2:$B$46),0)),"Unknown"))</f>
        <v>Meat_Eggs_Dozen</v>
      </c>
      <c r="E577">
        <f>IF('Raw Data'!E577&lt;&gt;"",'Raw Data'!E577,IFERROR(INDEX('Reference Table'!$B$2:$B$32,MATCH(D577,'Reference Table'!$A$2:$A$32,0)),""))</f>
        <v>75</v>
      </c>
      <c r="F577">
        <f>IF('Raw Data'!F577&lt;&gt;"",'Raw Data'!F577,IFERROR(ROUND('Raw Data'!G577/E577,0),""))</f>
        <v>3</v>
      </c>
      <c r="G577">
        <f>IF('Raw Data'!G577&lt;&gt;"",'Raw Data'!G577,IFERROR(ROUND(E577*F577,2),""))</f>
        <v>225</v>
      </c>
      <c r="H577" t="str">
        <f>'Raw Data'!H577</f>
        <v>Cash</v>
      </c>
      <c r="I577" t="str">
        <f>IF('Raw Data'!D577="",IF(D577="Unknown","Could not recover","Filled from Price lookup"),IF(TRIM('Raw Data'!D577)&lt;&gt;'Raw Data'!D577,"Trimmed whitespace","OK"))</f>
        <v>OK</v>
      </c>
      <c r="J577" t="str">
        <f t="shared" si="8"/>
        <v>OK</v>
      </c>
    </row>
    <row r="578" spans="1:10">
      <c r="A578" t="str">
        <f>'Raw Data'!A578</f>
        <v>TXN_1556</v>
      </c>
      <c r="B578" s="1">
        <f>'Raw Data'!B578</f>
        <v>45888</v>
      </c>
      <c r="C578" t="str">
        <f>IFERROR(INDEX('Reference Table'!$C$2:$C$46,MATCH(D578,'Reference Table'!$A$2:$A$46,0)),"Unknown")</f>
        <v>Food</v>
      </c>
      <c r="D578" t="str">
        <f t="array" ref="D578">IF(TRIM('Raw Data'!D578)&lt;&gt;"",TRIM('Raw Data'!D578),IFERROR(INDEX('Reference Table'!$A$2:$A$46,MATCH(VALUE('Raw Data'!E578),VALUE('Reference Table'!$B$2:$B$46),0)),"Unknown"))</f>
        <v>Food_Rice_1kg</v>
      </c>
      <c r="E578">
        <f>IF('Raw Data'!E578&lt;&gt;"",'Raw Data'!E578,IFERROR(INDEX('Reference Table'!$B$2:$B$32,MATCH(D578,'Reference Table'!$A$2:$A$32,0)),""))</f>
        <v>70</v>
      </c>
      <c r="F578">
        <f>IF('Raw Data'!F578&lt;&gt;"",'Raw Data'!F578,IFERROR(ROUND('Raw Data'!G578/E578,0),""))</f>
        <v>6</v>
      </c>
      <c r="G578">
        <f>IF('Raw Data'!G578&lt;&gt;"",'Raw Data'!G578,IFERROR(ROUND(E578*F578,2),""))</f>
        <v>420</v>
      </c>
      <c r="H578" t="str">
        <f>'Raw Data'!H578</f>
        <v>Credit Card</v>
      </c>
      <c r="I578" t="str">
        <f>IF('Raw Data'!D578="",IF(D578="Unknown","Could not recover","Filled from Price lookup"),IF(TRIM('Raw Data'!D578)&lt;&gt;'Raw Data'!D578,"Trimmed whitespace","OK"))</f>
        <v>OK</v>
      </c>
      <c r="J578" t="str">
        <f t="shared" si="8"/>
        <v>OK</v>
      </c>
    </row>
    <row r="579" spans="1:10">
      <c r="A579" t="str">
        <f>'Raw Data'!A579</f>
        <v>TXN_1274</v>
      </c>
      <c r="B579" s="1">
        <f>'Raw Data'!B579</f>
        <v>45671</v>
      </c>
      <c r="C579" t="str">
        <f>IFERROR(INDEX('Reference Table'!$C$2:$C$46,MATCH(D579,'Reference Table'!$A$2:$A$46,0)),"Unknown")</f>
        <v>Electric Accessories</v>
      </c>
      <c r="D579" t="str">
        <f t="array" ref="D579">IF(TRIM('Raw Data'!D579)&lt;&gt;"",TRIM('Raw Data'!D579),IFERROR(INDEX('Reference Table'!$A$2:$A$46,MATCH(VALUE('Raw Data'!E579),VALUE('Reference Table'!$B$2:$B$46),0)),"Unknown"))</f>
        <v>Elec_Earphones</v>
      </c>
      <c r="E579">
        <f>IF('Raw Data'!E579&lt;&gt;"",'Raw Data'!E579,IFERROR(INDEX('Reference Table'!$B$2:$B$32,MATCH(D579,'Reference Table'!$A$2:$A$32,0)),""))</f>
        <v>350</v>
      </c>
      <c r="F579">
        <f>IF('Raw Data'!F579&lt;&gt;"",'Raw Data'!F579,IFERROR(ROUND('Raw Data'!G579/E579,0),""))</f>
        <v>6</v>
      </c>
      <c r="G579">
        <f>IF('Raw Data'!G579&lt;&gt;"",'Raw Data'!G579,IFERROR(ROUND(E579*F579,2),""))</f>
        <v>2100</v>
      </c>
      <c r="H579" t="str">
        <f>'Raw Data'!H579</f>
        <v>Debit Card</v>
      </c>
      <c r="I579" t="str">
        <f>IF('Raw Data'!D579="",IF(D579="Unknown","Could not recover","Filled from Price lookup"),IF(TRIM('Raw Data'!D579)&lt;&gt;'Raw Data'!D579,"Trimmed whitespace","OK"))</f>
        <v>OK</v>
      </c>
      <c r="J579" t="str">
        <f t="shared" ref="J579:J616" si="9">IF(AND(E579&lt;&gt;"",F579&lt;&gt;"",G579&lt;&gt;""),IF(ROUND(E579*F579,2)=ROUND(G579,2),"OK","Mismatch"),"Incomplete")</f>
        <v>OK</v>
      </c>
    </row>
    <row r="580" spans="1:10">
      <c r="A580" t="str">
        <f>'Raw Data'!A580</f>
        <v>TXN_1116</v>
      </c>
      <c r="B580" s="1">
        <f>'Raw Data'!B580</f>
        <v>45796</v>
      </c>
      <c r="C580" t="str">
        <f>IFERROR(INDEX('Reference Table'!$C$2:$C$46,MATCH(D580,'Reference Table'!$A$2:$A$46,0)),"Unknown")</f>
        <v>Electric Accessories</v>
      </c>
      <c r="D580" t="str">
        <f t="array" ref="D580">IF(TRIM('Raw Data'!D580)&lt;&gt;"",TRIM('Raw Data'!D580),IFERROR(INDEX('Reference Table'!$A$2:$A$46,MATCH(VALUE('Raw Data'!E580),VALUE('Reference Table'!$B$2:$B$46),0)),"Unknown"))</f>
        <v>Elec_Charger</v>
      </c>
      <c r="E580">
        <f>IF('Raw Data'!E580&lt;&gt;"",'Raw Data'!E580,IFERROR(INDEX('Reference Table'!$B$2:$B$32,MATCH(D580,'Reference Table'!$A$2:$A$32,0)),""))</f>
        <v>400</v>
      </c>
      <c r="F580">
        <f>IF('Raw Data'!F580&lt;&gt;"",'Raw Data'!F580,IFERROR(ROUND('Raw Data'!G580/E580,0),""))</f>
        <v>3</v>
      </c>
      <c r="G580">
        <f>IF('Raw Data'!G580&lt;&gt;"",'Raw Data'!G580,IFERROR(ROUND(E580*F580,2),""))</f>
        <v>1200</v>
      </c>
      <c r="H580" t="str">
        <f>'Raw Data'!H580</f>
        <v>Mobile Payment</v>
      </c>
      <c r="I580" t="str">
        <f>IF('Raw Data'!D580="",IF(D580="Unknown","Could not recover","Filled from Price lookup"),IF(TRIM('Raw Data'!D580)&lt;&gt;'Raw Data'!D580,"Trimmed whitespace","OK"))</f>
        <v>OK</v>
      </c>
      <c r="J580" t="str">
        <f t="shared" si="9"/>
        <v>OK</v>
      </c>
    </row>
    <row r="581" spans="1:10">
      <c r="A581" t="str">
        <f>'Raw Data'!A581</f>
        <v>TXN_1115</v>
      </c>
      <c r="B581" s="1">
        <f>'Raw Data'!B581</f>
        <v>45697</v>
      </c>
      <c r="C581" t="str">
        <f>IFERROR(INDEX('Reference Table'!$C$2:$C$46,MATCH(D581,'Reference Table'!$A$2:$A$46,0)),"Unknown")</f>
        <v>Butchers</v>
      </c>
      <c r="D581" t="str">
        <f t="array" ref="D581">IF(TRIM('Raw Data'!D581)&lt;&gt;"",TRIM('Raw Data'!D581),IFERROR(INDEX('Reference Table'!$A$2:$A$46,MATCH(VALUE('Raw Data'!E581),VALUE('Reference Table'!$B$2:$B$46),0)),"Unknown"))</f>
        <v>Meat_Bacon_250g</v>
      </c>
      <c r="E581">
        <f>IF('Raw Data'!E581&lt;&gt;"",'Raw Data'!E581,IFERROR(INDEX('Reference Table'!$B$2:$B$32,MATCH(D581,'Reference Table'!$A$2:$A$32,0)),""))</f>
        <v>190</v>
      </c>
      <c r="F581">
        <f>IF('Raw Data'!F581&lt;&gt;"",'Raw Data'!F581,IFERROR(ROUND('Raw Data'!G581/E581,0),""))</f>
        <v>6</v>
      </c>
      <c r="G581">
        <f>IF('Raw Data'!G581&lt;&gt;"",'Raw Data'!G581,IFERROR(ROUND(E581*F581,2),""))</f>
        <v>1140</v>
      </c>
      <c r="H581" t="str">
        <f>'Raw Data'!H581</f>
        <v>Credit Card</v>
      </c>
      <c r="I581" t="str">
        <f>IF('Raw Data'!D581="",IF(D581="Unknown","Could not recover","Filled from Price lookup"),IF(TRIM('Raw Data'!D581)&lt;&gt;'Raw Data'!D581,"Trimmed whitespace","OK"))</f>
        <v>Filled from Price lookup</v>
      </c>
      <c r="J581" t="str">
        <f t="shared" si="9"/>
        <v>OK</v>
      </c>
    </row>
    <row r="582" spans="1:10">
      <c r="A582" t="str">
        <f>'Raw Data'!A582</f>
        <v>TXN_1523</v>
      </c>
      <c r="B582" s="1">
        <f>'Raw Data'!B582</f>
        <v>45839</v>
      </c>
      <c r="C582" t="str">
        <f>IFERROR(INDEX('Reference Table'!$C$2:$C$46,MATCH(D582,'Reference Table'!$A$2:$A$46,0)),"Unknown")</f>
        <v>Electric Accessories</v>
      </c>
      <c r="D582" t="str">
        <f t="array" ref="D582">IF(TRIM('Raw Data'!D582)&lt;&gt;"",TRIM('Raw Data'!D582),IFERROR(INDEX('Reference Table'!$A$2:$A$46,MATCH(VALUE('Raw Data'!E582),VALUE('Reference Table'!$B$2:$B$46),0)),"Unknown"))</f>
        <v>Elec_Earphones</v>
      </c>
      <c r="E582">
        <f>IF('Raw Data'!E582&lt;&gt;"",'Raw Data'!E582,IFERROR(INDEX('Reference Table'!$B$2:$B$32,MATCH(D582,'Reference Table'!$A$2:$A$32,0)),""))</f>
        <v>350</v>
      </c>
      <c r="F582">
        <f>IF('Raw Data'!F582&lt;&gt;"",'Raw Data'!F582,IFERROR(ROUND('Raw Data'!G582/E582,0),""))</f>
        <v>1</v>
      </c>
      <c r="G582">
        <f>IF('Raw Data'!G582&lt;&gt;"",'Raw Data'!G582,IFERROR(ROUND(E582*F582,2),""))</f>
        <v>350</v>
      </c>
      <c r="H582" t="str">
        <f>'Raw Data'!H582</f>
        <v>Credit Card</v>
      </c>
      <c r="I582" t="str">
        <f>IF('Raw Data'!D582="",IF(D582="Unknown","Could not recover","Filled from Price lookup"),IF(TRIM('Raw Data'!D582)&lt;&gt;'Raw Data'!D582,"Trimmed whitespace","OK"))</f>
        <v>Filled from Price lookup</v>
      </c>
      <c r="J582" t="str">
        <f t="shared" si="9"/>
        <v>OK</v>
      </c>
    </row>
    <row r="583" spans="1:10">
      <c r="A583" t="str">
        <f>'Raw Data'!A583</f>
        <v>TXN_1562</v>
      </c>
      <c r="B583" s="1">
        <f>'Raw Data'!B583</f>
        <v>45659</v>
      </c>
      <c r="C583" t="str">
        <f>IFERROR(INDEX('Reference Table'!$C$2:$C$46,MATCH(D583,'Reference Table'!$A$2:$A$46,0)),"Unknown")</f>
        <v>Food</v>
      </c>
      <c r="D583" t="str">
        <f t="array" ref="D583">IF(TRIM('Raw Data'!D583)&lt;&gt;"",TRIM('Raw Data'!D583),IFERROR(INDEX('Reference Table'!$A$2:$A$46,MATCH(VALUE('Raw Data'!E583),VALUE('Reference Table'!$B$2:$B$46),0)),"Unknown"))</f>
        <v>Food_Cereal_500g</v>
      </c>
      <c r="E583">
        <f>IF('Raw Data'!E583&lt;&gt;"",'Raw Data'!E583,IFERROR(INDEX('Reference Table'!$B$2:$B$32,MATCH(D583,'Reference Table'!$A$2:$A$32,0)),""))</f>
        <v>150</v>
      </c>
      <c r="F583">
        <f>IF('Raw Data'!F583&lt;&gt;"",'Raw Data'!F583,IFERROR(ROUND('Raw Data'!G583/E583,0),""))</f>
        <v>3</v>
      </c>
      <c r="G583">
        <f>IF('Raw Data'!G583&lt;&gt;"",'Raw Data'!G583,IFERROR(ROUND(E583*F583,2),""))</f>
        <v>450</v>
      </c>
      <c r="H583" t="str">
        <f>'Raw Data'!H583</f>
        <v>Mobile Payment</v>
      </c>
      <c r="I583" t="str">
        <f>IF('Raw Data'!D583="",IF(D583="Unknown","Could not recover","Filled from Price lookup"),IF(TRIM('Raw Data'!D583)&lt;&gt;'Raw Data'!D583,"Trimmed whitespace","OK"))</f>
        <v>OK</v>
      </c>
      <c r="J583" t="str">
        <f t="shared" si="9"/>
        <v>OK</v>
      </c>
    </row>
    <row r="584" spans="1:10">
      <c r="A584" t="str">
        <f>'Raw Data'!A584</f>
        <v>TXN_1507</v>
      </c>
      <c r="B584" s="1">
        <f>'Raw Data'!B584</f>
        <v>45829</v>
      </c>
      <c r="C584" t="str">
        <f>IFERROR(INDEX('Reference Table'!$C$2:$C$46,MATCH(D584,'Reference Table'!$A$2:$A$46,0)),"Unknown")</f>
        <v>Furniture</v>
      </c>
      <c r="D584" t="str">
        <f t="array" ref="D584">IF(TRIM('Raw Data'!D584)&lt;&gt;"",TRIM('Raw Data'!D584),IFERROR(INDEX('Reference Table'!$A$2:$A$46,MATCH(VALUE('Raw Data'!E584),VALUE('Reference Table'!$B$2:$B$46),0)),"Unknown"))</f>
        <v>Furn_Lamp</v>
      </c>
      <c r="E584">
        <f>IF('Raw Data'!E584&lt;&gt;"",'Raw Data'!E584,IFERROR(INDEX('Reference Table'!$B$2:$B$32,MATCH(D584,'Reference Table'!$A$2:$A$32,0)),""))</f>
        <v>700</v>
      </c>
      <c r="F584">
        <f>IF('Raw Data'!F584&lt;&gt;"",'Raw Data'!F584,IFERROR(ROUND('Raw Data'!G584/E584,0),""))</f>
        <v>6</v>
      </c>
      <c r="G584">
        <f>IF('Raw Data'!G584&lt;&gt;"",'Raw Data'!G584,IFERROR(ROUND(E584*F584,2),""))</f>
        <v>4200</v>
      </c>
      <c r="H584" t="str">
        <f>'Raw Data'!H584</f>
        <v>Credit Card</v>
      </c>
      <c r="I584" t="str">
        <f>IF('Raw Data'!D584="",IF(D584="Unknown","Could not recover","Filled from Price lookup"),IF(TRIM('Raw Data'!D584)&lt;&gt;'Raw Data'!D584,"Trimmed whitespace","OK"))</f>
        <v>OK</v>
      </c>
      <c r="J584" t="str">
        <f t="shared" si="9"/>
        <v>OK</v>
      </c>
    </row>
    <row r="585" spans="1:10">
      <c r="A585" t="str">
        <f>'Raw Data'!A585</f>
        <v>TXN_1579</v>
      </c>
      <c r="B585" s="1">
        <f>'Raw Data'!B585</f>
        <v>45849</v>
      </c>
      <c r="C585" t="str">
        <f>IFERROR(INDEX('Reference Table'!$C$2:$C$46,MATCH(D585,'Reference Table'!$A$2:$A$46,0)),"Unknown")</f>
        <v>Milk Products</v>
      </c>
      <c r="D585" t="str">
        <f t="array" ref="D585">IF(TRIM('Raw Data'!D585)&lt;&gt;"",TRIM('Raw Data'!D585),IFERROR(INDEX('Reference Table'!$A$2:$A$46,MATCH(VALUE('Raw Data'!E585),VALUE('Reference Table'!$B$2:$B$46),0)),"Unknown"))</f>
        <v>Milk_Ghee_500ml</v>
      </c>
      <c r="E585">
        <f>IF('Raw Data'!E585&lt;&gt;"",'Raw Data'!E585,IFERROR(INDEX('Reference Table'!$B$2:$B$32,MATCH(D585,'Reference Table'!$A$2:$A$32,0)),""))</f>
        <v>350</v>
      </c>
      <c r="F585">
        <f>IF('Raw Data'!F585&lt;&gt;"",'Raw Data'!F585,IFERROR(ROUND('Raw Data'!G585/E585,0),""))</f>
        <v>5</v>
      </c>
      <c r="G585">
        <f>IF('Raw Data'!G585&lt;&gt;"",'Raw Data'!G585,IFERROR(ROUND(E585*F585,2),""))</f>
        <v>1750</v>
      </c>
      <c r="H585" t="str">
        <f>'Raw Data'!H585</f>
        <v>Credit Card</v>
      </c>
      <c r="I585" t="str">
        <f>IF('Raw Data'!D585="",IF(D585="Unknown","Could not recover","Filled from Price lookup"),IF(TRIM('Raw Data'!D585)&lt;&gt;'Raw Data'!D585,"Trimmed whitespace","OK"))</f>
        <v>Trimmed whitespace</v>
      </c>
      <c r="J585" t="str">
        <f t="shared" si="9"/>
        <v>OK</v>
      </c>
    </row>
    <row r="586" spans="1:10">
      <c r="A586" t="str">
        <f>'Raw Data'!A586</f>
        <v>TXN_1468</v>
      </c>
      <c r="B586" s="1">
        <f>'Raw Data'!B586</f>
        <v>45688</v>
      </c>
      <c r="C586" t="str">
        <f>IFERROR(INDEX('Reference Table'!$C$2:$C$46,MATCH(D586,'Reference Table'!$A$2:$A$46,0)),"Unknown")</f>
        <v>Patisserie</v>
      </c>
      <c r="D586" t="str">
        <f t="array" ref="D586">IF(TRIM('Raw Data'!D586)&lt;&gt;"",TRIM('Raw Data'!D586),IFERROR(INDEX('Reference Table'!$A$2:$A$46,MATCH(VALUE('Raw Data'!E586),VALUE('Reference Table'!$B$2:$B$46),0)),"Unknown"))</f>
        <v>Pat_Cookie_Pack</v>
      </c>
      <c r="E586">
        <f>IF('Raw Data'!E586&lt;&gt;"",'Raw Data'!E586,IFERROR(INDEX('Reference Table'!$B$2:$B$32,MATCH(D586,'Reference Table'!$A$2:$A$32,0)),""))</f>
        <v>55</v>
      </c>
      <c r="F586">
        <f>IF('Raw Data'!F586&lt;&gt;"",'Raw Data'!F586,IFERROR(ROUND('Raw Data'!G586/E586,0),""))</f>
        <v>6</v>
      </c>
      <c r="G586">
        <f>IF('Raw Data'!G586&lt;&gt;"",'Raw Data'!G586,IFERROR(ROUND(E586*F586,2),""))</f>
        <v>495</v>
      </c>
      <c r="H586" t="str">
        <f>'Raw Data'!H586</f>
        <v>Debit Card</v>
      </c>
      <c r="I586" t="str">
        <f>IF('Raw Data'!D586="",IF(D586="Unknown","Could not recover","Filled from Price lookup"),IF(TRIM('Raw Data'!D586)&lt;&gt;'Raw Data'!D586,"Trimmed whitespace","OK"))</f>
        <v>OK</v>
      </c>
      <c r="J586" t="str">
        <f t="shared" si="9"/>
        <v>Mismatch</v>
      </c>
    </row>
    <row r="587" spans="1:10">
      <c r="A587" t="str">
        <f>'Raw Data'!A587</f>
        <v>TXN_1172</v>
      </c>
      <c r="B587" s="1">
        <f>'Raw Data'!B587</f>
        <v>45838</v>
      </c>
      <c r="C587" t="str">
        <f>IFERROR(INDEX('Reference Table'!$C$2:$C$46,MATCH(D587,'Reference Table'!$A$2:$A$46,0)),"Unknown")</f>
        <v>Milk Products</v>
      </c>
      <c r="D587" t="str">
        <f t="array" ref="D587">IF(TRIM('Raw Data'!D587)&lt;&gt;"",TRIM('Raw Data'!D587),IFERROR(INDEX('Reference Table'!$A$2:$A$46,MATCH(VALUE('Raw Data'!E587),VALUE('Reference Table'!$B$2:$B$46),0)),"Unknown"))</f>
        <v>Milk_Ghee_500ml</v>
      </c>
      <c r="E587">
        <f>IF('Raw Data'!E587&lt;&gt;"",'Raw Data'!E587,IFERROR(INDEX('Reference Table'!$B$2:$B$32,MATCH(D587,'Reference Table'!$A$2:$A$32,0)),""))</f>
        <v>350</v>
      </c>
      <c r="F587">
        <f>IF('Raw Data'!F587&lt;&gt;"",'Raw Data'!F587,IFERROR(ROUND('Raw Data'!G587/E587,0),""))</f>
        <v>3</v>
      </c>
      <c r="G587">
        <f>IF('Raw Data'!G587&lt;&gt;"",'Raw Data'!G587,IFERROR(ROUND(E587*F587,2),""))</f>
        <v>1050</v>
      </c>
      <c r="H587" t="str">
        <f>'Raw Data'!H587</f>
        <v>Debit Card</v>
      </c>
      <c r="I587" t="str">
        <f>IF('Raw Data'!D587="",IF(D587="Unknown","Could not recover","Filled from Price lookup"),IF(TRIM('Raw Data'!D587)&lt;&gt;'Raw Data'!D587,"Trimmed whitespace","OK"))</f>
        <v>OK</v>
      </c>
      <c r="J587" t="str">
        <f t="shared" si="9"/>
        <v>OK</v>
      </c>
    </row>
    <row r="588" spans="1:10">
      <c r="A588" t="str">
        <f>'Raw Data'!A588</f>
        <v>TXN_1295</v>
      </c>
      <c r="B588" s="1">
        <f>'Raw Data'!B588</f>
        <v>45878</v>
      </c>
      <c r="C588" t="str">
        <f>IFERROR(INDEX('Reference Table'!$C$2:$C$46,MATCH(D588,'Reference Table'!$A$2:$A$46,0)),"Unknown")</f>
        <v>Electric Accessories</v>
      </c>
      <c r="D588" t="str">
        <f t="array" ref="D588">IF(TRIM('Raw Data'!D588)&lt;&gt;"",TRIM('Raw Data'!D588),IFERROR(INDEX('Reference Table'!$A$2:$A$46,MATCH(VALUE('Raw Data'!E588),VALUE('Reference Table'!$B$2:$B$46),0)),"Unknown"))</f>
        <v>Elec_Powerbank</v>
      </c>
      <c r="E588">
        <f>IF('Raw Data'!E588&lt;&gt;"",'Raw Data'!E588,IFERROR(INDEX('Reference Table'!$B$2:$B$32,MATCH(D588,'Reference Table'!$A$2:$A$32,0)),""))</f>
        <v>900</v>
      </c>
      <c r="F588">
        <f>IF('Raw Data'!F588&lt;&gt;"",'Raw Data'!F588,IFERROR(ROUND('Raw Data'!G588/E588,0),""))</f>
        <v>1</v>
      </c>
      <c r="G588">
        <f>IF('Raw Data'!G588&lt;&gt;"",'Raw Data'!G588,IFERROR(ROUND(E588*F588,2),""))</f>
        <v>900</v>
      </c>
      <c r="H588" t="str">
        <f>'Raw Data'!H588</f>
        <v>Debit Card</v>
      </c>
      <c r="I588" t="str">
        <f>IF('Raw Data'!D588="",IF(D588="Unknown","Could not recover","Filled from Price lookup"),IF(TRIM('Raw Data'!D588)&lt;&gt;'Raw Data'!D588,"Trimmed whitespace","OK"))</f>
        <v>OK</v>
      </c>
      <c r="J588" t="str">
        <f t="shared" si="9"/>
        <v>OK</v>
      </c>
    </row>
    <row r="589" spans="1:10">
      <c r="A589" t="str">
        <f>'Raw Data'!A589</f>
        <v>TXN_1550</v>
      </c>
      <c r="B589" s="1">
        <f>'Raw Data'!B589</f>
        <v>45757</v>
      </c>
      <c r="C589" t="str">
        <f>IFERROR(INDEX('Reference Table'!$C$2:$C$46,MATCH(D589,'Reference Table'!$A$2:$A$46,0)),"Unknown")</f>
        <v>Food</v>
      </c>
      <c r="D589" t="str">
        <f t="array" ref="D589">IF(TRIM('Raw Data'!D589)&lt;&gt;"",TRIM('Raw Data'!D589),IFERROR(INDEX('Reference Table'!$A$2:$A$46,MATCH(VALUE('Raw Data'!E589),VALUE('Reference Table'!$B$2:$B$46),0)),"Unknown"))</f>
        <v>Food_Oats_1kg</v>
      </c>
      <c r="E589">
        <f>IF('Raw Data'!E589&lt;&gt;"",'Raw Data'!E589,IFERROR(INDEX('Reference Table'!$B$2:$B$32,MATCH(D589,'Reference Table'!$A$2:$A$32,0)),""))</f>
        <v>120</v>
      </c>
      <c r="F589">
        <f>IF('Raw Data'!F589&lt;&gt;"",'Raw Data'!F589,IFERROR(ROUND('Raw Data'!G589/E589,0),""))</f>
        <v>6</v>
      </c>
      <c r="G589">
        <f>IF('Raw Data'!G589&lt;&gt;"",'Raw Data'!G589,IFERROR(ROUND(E589*F589,2),""))</f>
        <v>1080</v>
      </c>
      <c r="H589" t="str">
        <f>'Raw Data'!H589</f>
        <v>Debit Card</v>
      </c>
      <c r="I589" t="str">
        <f>IF('Raw Data'!D589="",IF(D589="Unknown","Could not recover","Filled from Price lookup"),IF(TRIM('Raw Data'!D589)&lt;&gt;'Raw Data'!D589,"Trimmed whitespace","OK"))</f>
        <v>OK</v>
      </c>
      <c r="J589" t="str">
        <f t="shared" si="9"/>
        <v>Mismatch</v>
      </c>
    </row>
    <row r="590" spans="1:10">
      <c r="A590" t="str">
        <f>'Raw Data'!A590</f>
        <v>TXN_1230</v>
      </c>
      <c r="B590" s="1">
        <f>'Raw Data'!B590</f>
        <v>45741</v>
      </c>
      <c r="C590" t="str">
        <f>IFERROR(INDEX('Reference Table'!$C$2:$C$46,MATCH(D590,'Reference Table'!$A$2:$A$46,0)),"Unknown")</f>
        <v>Food</v>
      </c>
      <c r="D590" t="str">
        <f t="array" ref="D590">IF(TRIM('Raw Data'!D590)&lt;&gt;"",TRIM('Raw Data'!D590),IFERROR(INDEX('Reference Table'!$A$2:$A$46,MATCH(VALUE('Raw Data'!E590),VALUE('Reference Table'!$B$2:$B$46),0)),"Unknown"))</f>
        <v>Food_Rice_1kg</v>
      </c>
      <c r="E590">
        <f>IF('Raw Data'!E590&lt;&gt;"",'Raw Data'!E590,IFERROR(INDEX('Reference Table'!$B$2:$B$32,MATCH(D590,'Reference Table'!$A$2:$A$32,0)),""))</f>
        <v>70</v>
      </c>
      <c r="F590">
        <f>IF('Raw Data'!F590&lt;&gt;"",'Raw Data'!F590,IFERROR(ROUND('Raw Data'!G590/E590,0),""))</f>
        <v>3</v>
      </c>
      <c r="G590">
        <f>IF('Raw Data'!G590&lt;&gt;"",'Raw Data'!G590,IFERROR(ROUND(E590*F590,2),""))</f>
        <v>210</v>
      </c>
      <c r="H590" t="str">
        <f>'Raw Data'!H590</f>
        <v>Mobile Payment</v>
      </c>
      <c r="I590" t="str">
        <f>IF('Raw Data'!D590="",IF(D590="Unknown","Could not recover","Filled from Price lookup"),IF(TRIM('Raw Data'!D590)&lt;&gt;'Raw Data'!D590,"Trimmed whitespace","OK"))</f>
        <v>OK</v>
      </c>
      <c r="J590" t="str">
        <f t="shared" si="9"/>
        <v>OK</v>
      </c>
    </row>
    <row r="591" spans="1:10">
      <c r="A591" t="str">
        <f>'Raw Data'!A591</f>
        <v>TXN_1281</v>
      </c>
      <c r="B591" s="1">
        <f>'Raw Data'!B591</f>
        <v>45826</v>
      </c>
      <c r="C591" t="str">
        <f>IFERROR(INDEX('Reference Table'!$C$2:$C$46,MATCH(D591,'Reference Table'!$A$2:$A$46,0)),"Unknown")</f>
        <v>Food</v>
      </c>
      <c r="D591" t="str">
        <f t="array" ref="D591">IF(TRIM('Raw Data'!D591)&lt;&gt;"",TRIM('Raw Data'!D591),IFERROR(INDEX('Reference Table'!$A$2:$A$46,MATCH(VALUE('Raw Data'!E591),VALUE('Reference Table'!$B$2:$B$46),0)),"Unknown"))</f>
        <v>Food_Oats_1kg</v>
      </c>
      <c r="E591">
        <f>IF('Raw Data'!E591&lt;&gt;"",'Raw Data'!E591,IFERROR(INDEX('Reference Table'!$B$2:$B$32,MATCH(D591,'Reference Table'!$A$2:$A$32,0)),""))</f>
        <v>120</v>
      </c>
      <c r="F591">
        <f>IF('Raw Data'!F591&lt;&gt;"",'Raw Data'!F591,IFERROR(ROUND('Raw Data'!G591/E591,0),""))</f>
        <v>5</v>
      </c>
      <c r="G591">
        <f>IF('Raw Data'!G591&lt;&gt;"",'Raw Data'!G591,IFERROR(ROUND(E591*F591,2),""))</f>
        <v>600</v>
      </c>
      <c r="H591" t="str">
        <f>'Raw Data'!H591</f>
        <v>Mobile Payment</v>
      </c>
      <c r="I591" t="str">
        <f>IF('Raw Data'!D591="",IF(D591="Unknown","Could not recover","Filled from Price lookup"),IF(TRIM('Raw Data'!D591)&lt;&gt;'Raw Data'!D591,"Trimmed whitespace","OK"))</f>
        <v>Filled from Price lookup</v>
      </c>
      <c r="J591" t="str">
        <f t="shared" si="9"/>
        <v>OK</v>
      </c>
    </row>
    <row r="592" spans="1:10">
      <c r="A592" t="str">
        <f>'Raw Data'!A592</f>
        <v>TXN_1033</v>
      </c>
      <c r="B592" s="1">
        <f>'Raw Data'!B592</f>
        <v>45686</v>
      </c>
      <c r="C592" t="str">
        <f>IFERROR(INDEX('Reference Table'!$C$2:$C$46,MATCH(D592,'Reference Table'!$A$2:$A$46,0)),"Unknown")</f>
        <v>Computers</v>
      </c>
      <c r="D592" t="str">
        <f t="array" ref="D592">IF(TRIM('Raw Data'!D592)&lt;&gt;"",TRIM('Raw Data'!D592),IFERROR(INDEX('Reference Table'!$A$2:$A$46,MATCH(VALUE('Raw Data'!E592),VALUE('Reference Table'!$B$2:$B$46),0)),"Unknown"))</f>
        <v>Comp_Keyboard</v>
      </c>
      <c r="E592">
        <f>IF('Raw Data'!E592&lt;&gt;"",'Raw Data'!E592,IFERROR(INDEX('Reference Table'!$B$2:$B$32,MATCH(D592,'Reference Table'!$A$2:$A$32,0)),""))</f>
        <v>800</v>
      </c>
      <c r="F592">
        <f>IF('Raw Data'!F592&lt;&gt;"",'Raw Data'!F592,IFERROR(ROUND('Raw Data'!G592/E592,0),""))</f>
        <v>1</v>
      </c>
      <c r="G592">
        <f>IF('Raw Data'!G592&lt;&gt;"",'Raw Data'!G592,IFERROR(ROUND(E592*F592,2),""))</f>
        <v>800</v>
      </c>
      <c r="H592" t="str">
        <f>'Raw Data'!H592</f>
        <v>Debit Card</v>
      </c>
      <c r="I592" t="str">
        <f>IF('Raw Data'!D592="",IF(D592="Unknown","Could not recover","Filled from Price lookup"),IF(TRIM('Raw Data'!D592)&lt;&gt;'Raw Data'!D592,"Trimmed whitespace","OK"))</f>
        <v>OK</v>
      </c>
      <c r="J592" t="str">
        <f t="shared" si="9"/>
        <v>OK</v>
      </c>
    </row>
    <row r="593" spans="1:10">
      <c r="A593" t="str">
        <f>'Raw Data'!A593</f>
        <v>TXN_1299</v>
      </c>
      <c r="B593" s="1">
        <f>'Raw Data'!B593</f>
        <v>45769</v>
      </c>
      <c r="C593" t="str">
        <f>IFERROR(INDEX('Reference Table'!$C$2:$C$46,MATCH(D593,'Reference Table'!$A$2:$A$46,0)),"Unknown")</f>
        <v>Food</v>
      </c>
      <c r="D593" t="str">
        <f t="array" ref="D593">IF(TRIM('Raw Data'!D593)&lt;&gt;"",TRIM('Raw Data'!D593),IFERROR(INDEX('Reference Table'!$A$2:$A$46,MATCH(VALUE('Raw Data'!E593),VALUE('Reference Table'!$B$2:$B$46),0)),"Unknown"))</f>
        <v>Food_Wheat_1kg</v>
      </c>
      <c r="E593">
        <f>IF('Raw Data'!E593&lt;&gt;"",'Raw Data'!E593,IFERROR(INDEX('Reference Table'!$B$2:$B$32,MATCH(D593,'Reference Table'!$A$2:$A$32,0)),""))</f>
        <v>55</v>
      </c>
      <c r="F593">
        <f>IF('Raw Data'!F593&lt;&gt;"",'Raw Data'!F593,IFERROR(ROUND('Raw Data'!G593/E593,0),""))</f>
        <v>2</v>
      </c>
      <c r="G593">
        <f>IF('Raw Data'!G593&lt;&gt;"",'Raw Data'!G593,IFERROR(ROUND(E593*F593,2),""))</f>
        <v>110</v>
      </c>
      <c r="H593" t="str">
        <f>'Raw Data'!H593</f>
        <v>Mobile Payment</v>
      </c>
      <c r="I593" t="str">
        <f>IF('Raw Data'!D593="",IF(D593="Unknown","Could not recover","Filled from Price lookup"),IF(TRIM('Raw Data'!D593)&lt;&gt;'Raw Data'!D593,"Trimmed whitespace","OK"))</f>
        <v>OK</v>
      </c>
      <c r="J593" t="str">
        <f t="shared" si="9"/>
        <v>OK</v>
      </c>
    </row>
    <row r="594" spans="1:10">
      <c r="A594" t="str">
        <f>'Raw Data'!A594</f>
        <v>TXN_1225</v>
      </c>
      <c r="B594" s="1">
        <f>'Raw Data'!B594</f>
        <v>45857</v>
      </c>
      <c r="C594" t="str">
        <f>IFERROR(INDEX('Reference Table'!$C$2:$C$46,MATCH(D594,'Reference Table'!$A$2:$A$46,0)),"Unknown")</f>
        <v>Furniture</v>
      </c>
      <c r="D594" t="str">
        <f t="array" ref="D594">IF(TRIM('Raw Data'!D594)&lt;&gt;"",TRIM('Raw Data'!D594),IFERROR(INDEX('Reference Table'!$A$2:$A$46,MATCH(VALUE('Raw Data'!E594),VALUE('Reference Table'!$B$2:$B$46),0)),"Unknown"))</f>
        <v>Furn_Small_Table</v>
      </c>
      <c r="E594">
        <f>IF('Raw Data'!E594&lt;&gt;"",'Raw Data'!E594,IFERROR(INDEX('Reference Table'!$B$2:$B$32,MATCH(D594,'Reference Table'!$A$2:$A$32,0)),""))</f>
        <v>3200</v>
      </c>
      <c r="F594">
        <f>IF('Raw Data'!F594&lt;&gt;"",'Raw Data'!F594,IFERROR(ROUND('Raw Data'!G594/E594,0),""))</f>
        <v>6</v>
      </c>
      <c r="G594">
        <f>IF('Raw Data'!G594&lt;&gt;"",'Raw Data'!G594,IFERROR(ROUND(E594*F594,2),""))</f>
        <v>19200</v>
      </c>
      <c r="H594" t="str">
        <f>'Raw Data'!H594</f>
        <v>Cash</v>
      </c>
      <c r="I594" t="str">
        <f>IF('Raw Data'!D594="",IF(D594="Unknown","Could not recover","Filled from Price lookup"),IF(TRIM('Raw Data'!D594)&lt;&gt;'Raw Data'!D594,"Trimmed whitespace","OK"))</f>
        <v>OK</v>
      </c>
      <c r="J594" t="str">
        <f t="shared" si="9"/>
        <v>OK</v>
      </c>
    </row>
    <row r="595" spans="1:10">
      <c r="A595" t="str">
        <f>'Raw Data'!A595</f>
        <v>TXN_1031</v>
      </c>
      <c r="B595" s="1">
        <f>'Raw Data'!B595</f>
        <v>45787</v>
      </c>
      <c r="C595" t="str">
        <f>IFERROR(INDEX('Reference Table'!$C$2:$C$46,MATCH(D595,'Reference Table'!$A$2:$A$46,0)),"Unknown")</f>
        <v>Patisserie</v>
      </c>
      <c r="D595" t="str">
        <f t="array" ref="D595">IF(TRIM('Raw Data'!D595)&lt;&gt;"",TRIM('Raw Data'!D595),IFERROR(INDEX('Reference Table'!$A$2:$A$46,MATCH(VALUE('Raw Data'!E595),VALUE('Reference Table'!$B$2:$B$46),0)),"Unknown"))</f>
        <v>Pat_Cookie_Pack</v>
      </c>
      <c r="E595" t="str">
        <f>IF('Raw Data'!E595&lt;&gt;"",'Raw Data'!E595,IFERROR(INDEX('Reference Table'!$B$2:$B$32,MATCH(D595,'Reference Table'!$A$2:$A$32,0)),""))</f>
        <v/>
      </c>
      <c r="F595">
        <f>IF('Raw Data'!F595&lt;&gt;"",'Raw Data'!F595,IFERROR(ROUND('Raw Data'!G595/E595,0),""))</f>
        <v>6</v>
      </c>
      <c r="G595">
        <f>IF('Raw Data'!G595&lt;&gt;"",'Raw Data'!G595,IFERROR(ROUND(E595*F595,2),""))</f>
        <v>330</v>
      </c>
      <c r="H595" t="str">
        <f>'Raw Data'!H595</f>
        <v>Credit Card</v>
      </c>
      <c r="I595" t="str">
        <f>IF('Raw Data'!D595="",IF(D595="Unknown","Could not recover","Filled from Price lookup"),IF(TRIM('Raw Data'!D595)&lt;&gt;'Raw Data'!D595,"Trimmed whitespace","OK"))</f>
        <v>OK</v>
      </c>
      <c r="J595" t="str">
        <f t="shared" si="9"/>
        <v>Incomplete</v>
      </c>
    </row>
    <row r="596" spans="1:10">
      <c r="A596" t="str">
        <f>'Raw Data'!A596</f>
        <v>TXN_1578</v>
      </c>
      <c r="B596" s="1">
        <f>'Raw Data'!B596</f>
        <v>45685</v>
      </c>
      <c r="C596" t="str">
        <f>IFERROR(INDEX('Reference Table'!$C$2:$C$46,MATCH(D596,'Reference Table'!$A$2:$A$46,0)),"Unknown")</f>
        <v>Butchers</v>
      </c>
      <c r="D596" t="str">
        <f t="array" ref="D596">IF(TRIM('Raw Data'!D596)&lt;&gt;"",TRIM('Raw Data'!D596),IFERROR(INDEX('Reference Table'!$A$2:$A$46,MATCH(VALUE('Raw Data'!E596),VALUE('Reference Table'!$B$2:$B$46),0)),"Unknown"))</f>
        <v xml:space="preserve">  Meat_Mutton_1kg  </v>
      </c>
      <c r="E596">
        <f>IF('Raw Data'!E596&lt;&gt;"",'Raw Data'!E596,IFERROR(INDEX('Reference Table'!$B$2:$B$32,MATCH(D596,'Reference Table'!$A$2:$A$32,0)),""))</f>
        <v>650</v>
      </c>
      <c r="F596">
        <f>IF('Raw Data'!F596&lt;&gt;"",'Raw Data'!F596,IFERROR(ROUND('Raw Data'!G596/E596,0),""))</f>
        <v>4</v>
      </c>
      <c r="G596">
        <f>IF('Raw Data'!G596&lt;&gt;"",'Raw Data'!G596,IFERROR(ROUND(E596*F596,2),""))</f>
        <v>2600</v>
      </c>
      <c r="H596" t="str">
        <f>'Raw Data'!H596</f>
        <v>Cash</v>
      </c>
      <c r="I596" t="str">
        <f>IF('Raw Data'!D596="",IF(D596="Unknown","Could not recover","Filled from Price lookup"),IF(TRIM('Raw Data'!D596)&lt;&gt;'Raw Data'!D596,"Trimmed whitespace","OK"))</f>
        <v>Filled from Price lookup</v>
      </c>
      <c r="J596" t="str">
        <f t="shared" si="9"/>
        <v>OK</v>
      </c>
    </row>
    <row r="597" spans="1:10">
      <c r="A597" t="str">
        <f>'Raw Data'!A597</f>
        <v>TXN_1084</v>
      </c>
      <c r="B597" s="1">
        <f>'Raw Data'!B597</f>
        <v>45867</v>
      </c>
      <c r="C597" t="str">
        <f>IFERROR(INDEX('Reference Table'!$C$2:$C$46,MATCH(D597,'Reference Table'!$A$2:$A$46,0)),"Unknown")</f>
        <v>Milk Products</v>
      </c>
      <c r="D597" t="str">
        <f t="array" ref="D597">IF(TRIM('Raw Data'!D597)&lt;&gt;"",TRIM('Raw Data'!D597),IFERROR(INDEX('Reference Table'!$A$2:$A$46,MATCH(VALUE('Raw Data'!E597),VALUE('Reference Table'!$B$2:$B$46),0)),"Unknown"))</f>
        <v>Milk_Ghee_500ml</v>
      </c>
      <c r="E597">
        <f>IF('Raw Data'!E597&lt;&gt;"",'Raw Data'!E597,IFERROR(INDEX('Reference Table'!$B$2:$B$32,MATCH(D597,'Reference Table'!$A$2:$A$32,0)),""))</f>
        <v>350</v>
      </c>
      <c r="F597">
        <f>IF('Raw Data'!F597&lt;&gt;"",'Raw Data'!F597,IFERROR(ROUND('Raw Data'!G597/E597,0),""))</f>
        <v>2</v>
      </c>
      <c r="G597">
        <f>IF('Raw Data'!G597&lt;&gt;"",'Raw Data'!G597,IFERROR(ROUND(E597*F597,2),""))</f>
        <v>1050</v>
      </c>
      <c r="H597" t="str">
        <f>'Raw Data'!H597</f>
        <v>Mobile Payment</v>
      </c>
      <c r="I597" t="str">
        <f>IF('Raw Data'!D597="",IF(D597="Unknown","Could not recover","Filled from Price lookup"),IF(TRIM('Raw Data'!D597)&lt;&gt;'Raw Data'!D597,"Trimmed whitespace","OK"))</f>
        <v>OK</v>
      </c>
      <c r="J597" t="str">
        <f t="shared" si="9"/>
        <v>Mismatch</v>
      </c>
    </row>
    <row r="598" spans="1:10">
      <c r="A598" t="str">
        <f>'Raw Data'!A598</f>
        <v>TXN_1171</v>
      </c>
      <c r="B598" s="1">
        <f>'Raw Data'!B598</f>
        <v>45834</v>
      </c>
      <c r="C598" t="str">
        <f>IFERROR(INDEX('Reference Table'!$C$2:$C$46,MATCH(D598,'Reference Table'!$A$2:$A$46,0)),"Unknown")</f>
        <v>Electric Accessories</v>
      </c>
      <c r="D598" t="str">
        <f t="array" ref="D598">IF(TRIM('Raw Data'!D598)&lt;&gt;"",TRIM('Raw Data'!D598),IFERROR(INDEX('Reference Table'!$A$2:$A$46,MATCH(VALUE('Raw Data'!E598),VALUE('Reference Table'!$B$2:$B$46),0)),"Unknown"))</f>
        <v>Elec_Charger</v>
      </c>
      <c r="E598">
        <f>IF('Raw Data'!E598&lt;&gt;"",'Raw Data'!E598,IFERROR(INDEX('Reference Table'!$B$2:$B$32,MATCH(D598,'Reference Table'!$A$2:$A$32,0)),""))</f>
        <v>400</v>
      </c>
      <c r="F598">
        <f>IF('Raw Data'!F598&lt;&gt;"",'Raw Data'!F598,IFERROR(ROUND('Raw Data'!G598/E598,0),""))</f>
        <v>4</v>
      </c>
      <c r="G598">
        <f>IF('Raw Data'!G598&lt;&gt;"",'Raw Data'!G598,IFERROR(ROUND(E598*F598,2),""))</f>
        <v>1600</v>
      </c>
      <c r="H598" t="str">
        <f>'Raw Data'!H598</f>
        <v>Mobile Payment</v>
      </c>
      <c r="I598" t="str">
        <f>IF('Raw Data'!D598="",IF(D598="Unknown","Could not recover","Filled from Price lookup"),IF(TRIM('Raw Data'!D598)&lt;&gt;'Raw Data'!D598,"Trimmed whitespace","OK"))</f>
        <v>OK</v>
      </c>
      <c r="J598" t="str">
        <f t="shared" si="9"/>
        <v>OK</v>
      </c>
    </row>
    <row r="599" spans="1:10">
      <c r="A599" t="str">
        <f>'Raw Data'!A599</f>
        <v>TXN_1500</v>
      </c>
      <c r="B599" s="1">
        <f>'Raw Data'!B599</f>
        <v>45705</v>
      </c>
      <c r="C599" t="str">
        <f>IFERROR(INDEX('Reference Table'!$C$2:$C$46,MATCH(D599,'Reference Table'!$A$2:$A$46,0)),"Unknown")</f>
        <v>Patisserie</v>
      </c>
      <c r="D599" t="str">
        <f t="array" ref="D599">IF(TRIM('Raw Data'!D599)&lt;&gt;"",TRIM('Raw Data'!D599),IFERROR(INDEX('Reference Table'!$A$2:$A$46,MATCH(VALUE('Raw Data'!E599),VALUE('Reference Table'!$B$2:$B$46),0)),"Unknown"))</f>
        <v>Pat_Cookie_Pack</v>
      </c>
      <c r="E599">
        <f>IF('Raw Data'!E599&lt;&gt;"",'Raw Data'!E599,IFERROR(INDEX('Reference Table'!$B$2:$B$32,MATCH(D599,'Reference Table'!$A$2:$A$32,0)),""))</f>
        <v>55</v>
      </c>
      <c r="F599">
        <f>IF('Raw Data'!F599&lt;&gt;"",'Raw Data'!F599,IFERROR(ROUND('Raw Data'!G599/E599,0),""))</f>
        <v>4</v>
      </c>
      <c r="G599">
        <f>IF('Raw Data'!G599&lt;&gt;"",'Raw Data'!G599,IFERROR(ROUND(E599*F599,2),""))</f>
        <v>220</v>
      </c>
      <c r="H599" t="str">
        <f>'Raw Data'!H599</f>
        <v>Mobile Payment</v>
      </c>
      <c r="I599" t="str">
        <f>IF('Raw Data'!D599="",IF(D599="Unknown","Could not recover","Filled from Price lookup"),IF(TRIM('Raw Data'!D599)&lt;&gt;'Raw Data'!D599,"Trimmed whitespace","OK"))</f>
        <v>OK</v>
      </c>
      <c r="J599" t="str">
        <f t="shared" si="9"/>
        <v>OK</v>
      </c>
    </row>
    <row r="600" spans="1:10">
      <c r="A600" t="str">
        <f>'Raw Data'!A600</f>
        <v>TXN_1454</v>
      </c>
      <c r="B600" s="1">
        <f>'Raw Data'!B600</f>
        <v>45764</v>
      </c>
      <c r="C600" t="str">
        <f>IFERROR(INDEX('Reference Table'!$C$2:$C$46,MATCH(D600,'Reference Table'!$A$2:$A$46,0)),"Unknown")</f>
        <v>Beverages</v>
      </c>
      <c r="D600" t="str">
        <f t="array" ref="D600">IF(TRIM('Raw Data'!D600)&lt;&gt;"",TRIM('Raw Data'!D600),IFERROR(INDEX('Reference Table'!$A$2:$A$46,MATCH(VALUE('Raw Data'!E600),VALUE('Reference Table'!$B$2:$B$46),0)),"Unknown"))</f>
        <v>Bev_Water_1L</v>
      </c>
      <c r="E600">
        <f>IF('Raw Data'!E600&lt;&gt;"",'Raw Data'!E600,IFERROR(INDEX('Reference Table'!$B$2:$B$32,MATCH(D600,'Reference Table'!$A$2:$A$32,0)),""))</f>
        <v>20</v>
      </c>
      <c r="F600">
        <f>IF('Raw Data'!F600&lt;&gt;"",'Raw Data'!F600,IFERROR(ROUND('Raw Data'!G600/E600,0),""))</f>
        <v>2</v>
      </c>
      <c r="G600">
        <f>IF('Raw Data'!G600&lt;&gt;"",'Raw Data'!G600,IFERROR(ROUND(E600*F600,2),""))</f>
        <v>40</v>
      </c>
      <c r="H600" t="str">
        <f>'Raw Data'!H600</f>
        <v>Credit Card</v>
      </c>
      <c r="I600" t="str">
        <f>IF('Raw Data'!D600="",IF(D600="Unknown","Could not recover","Filled from Price lookup"),IF(TRIM('Raw Data'!D600)&lt;&gt;'Raw Data'!D600,"Trimmed whitespace","OK"))</f>
        <v>OK</v>
      </c>
      <c r="J600" t="str">
        <f t="shared" si="9"/>
        <v>OK</v>
      </c>
    </row>
    <row r="601" spans="1:10">
      <c r="A601" t="str">
        <f>'Raw Data'!A601</f>
        <v>TXN_1425</v>
      </c>
      <c r="B601" s="1">
        <f>'Raw Data'!B601</f>
        <v>45699</v>
      </c>
      <c r="C601" t="str">
        <f>IFERROR(INDEX('Reference Table'!$C$2:$C$46,MATCH(D601,'Reference Table'!$A$2:$A$46,0)),"Unknown")</f>
        <v>Furniture</v>
      </c>
      <c r="D601" t="str">
        <f t="array" ref="D601">IF(TRIM('Raw Data'!D601)&lt;&gt;"",TRIM('Raw Data'!D601),IFERROR(INDEX('Reference Table'!$A$2:$A$46,MATCH(VALUE('Raw Data'!E601),VALUE('Reference Table'!$B$2:$B$46),0)),"Unknown"))</f>
        <v>Furn_Cushion</v>
      </c>
      <c r="E601">
        <f>IF('Raw Data'!E601&lt;&gt;"",'Raw Data'!E601,IFERROR(INDEX('Reference Table'!$B$2:$B$32,MATCH(D601,'Reference Table'!$A$2:$A$32,0)),""))</f>
        <v>350</v>
      </c>
      <c r="F601">
        <f>IF('Raw Data'!F601&lt;&gt;"",'Raw Data'!F601,IFERROR(ROUND('Raw Data'!G601/E601,0),""))</f>
        <v>3</v>
      </c>
      <c r="G601">
        <f>IF('Raw Data'!G601&lt;&gt;"",'Raw Data'!G601,IFERROR(ROUND(E601*F601,2),""))</f>
        <v>1050</v>
      </c>
      <c r="H601" t="str">
        <f>'Raw Data'!H601</f>
        <v>Mobile Payment</v>
      </c>
      <c r="I601" t="str">
        <f>IF('Raw Data'!D601="",IF(D601="Unknown","Could not recover","Filled from Price lookup"),IF(TRIM('Raw Data'!D601)&lt;&gt;'Raw Data'!D601,"Trimmed whitespace","OK"))</f>
        <v>OK</v>
      </c>
      <c r="J601" t="str">
        <f t="shared" si="9"/>
        <v>OK</v>
      </c>
    </row>
    <row r="602" spans="1:10">
      <c r="A602" t="str">
        <f>'Raw Data'!A602</f>
        <v>TXN_1503</v>
      </c>
      <c r="B602" s="1">
        <f>'Raw Data'!B602</f>
        <v>45720</v>
      </c>
      <c r="C602" t="str">
        <f>IFERROR(INDEX('Reference Table'!$C$2:$C$46,MATCH(D602,'Reference Table'!$A$2:$A$46,0)),"Unknown")</f>
        <v>Food</v>
      </c>
      <c r="D602" t="str">
        <f t="array" ref="D602">IF(TRIM('Raw Data'!D602)&lt;&gt;"",TRIM('Raw Data'!D602),IFERROR(INDEX('Reference Table'!$A$2:$A$46,MATCH(VALUE('Raw Data'!E602),VALUE('Reference Table'!$B$2:$B$46),0)),"Unknown"))</f>
        <v>Food_Cereal_500g</v>
      </c>
      <c r="E602">
        <f>IF('Raw Data'!E602&lt;&gt;"",'Raw Data'!E602,IFERROR(INDEX('Reference Table'!$B$2:$B$32,MATCH(D602,'Reference Table'!$A$2:$A$32,0)),""))</f>
        <v>150</v>
      </c>
      <c r="F602">
        <f>IF('Raw Data'!F602&lt;&gt;"",'Raw Data'!F602,IFERROR(ROUND('Raw Data'!G602/E602,0),""))</f>
        <v>4</v>
      </c>
      <c r="G602">
        <f>IF('Raw Data'!G602&lt;&gt;"",'Raw Data'!G602,IFERROR(ROUND(E602*F602,2),""))</f>
        <v>600</v>
      </c>
      <c r="H602" t="str">
        <f>'Raw Data'!H602</f>
        <v>Debit Card</v>
      </c>
      <c r="I602" t="str">
        <f>IF('Raw Data'!D602="",IF(D602="Unknown","Could not recover","Filled from Price lookup"),IF(TRIM('Raw Data'!D602)&lt;&gt;'Raw Data'!D602,"Trimmed whitespace","OK"))</f>
        <v>OK</v>
      </c>
      <c r="J602" t="str">
        <f t="shared" si="9"/>
        <v>OK</v>
      </c>
    </row>
    <row r="603" spans="1:10">
      <c r="A603" t="str">
        <f>'Raw Data'!A603</f>
        <v>TXN_1418</v>
      </c>
      <c r="B603" s="1">
        <f>'Raw Data'!B603</f>
        <v>45707</v>
      </c>
      <c r="C603" t="str">
        <f>IFERROR(INDEX('Reference Table'!$C$2:$C$46,MATCH(D603,'Reference Table'!$A$2:$A$46,0)),"Unknown")</f>
        <v>Furniture</v>
      </c>
      <c r="D603" t="str">
        <f t="array" ref="D603">IF(TRIM('Raw Data'!D603)&lt;&gt;"",TRIM('Raw Data'!D603),IFERROR(INDEX('Reference Table'!$A$2:$A$46,MATCH(VALUE('Raw Data'!E603),VALUE('Reference Table'!$B$2:$B$46),0)),"Unknown"))</f>
        <v>Furn_Small_Table</v>
      </c>
      <c r="E603">
        <f>IF('Raw Data'!E603&lt;&gt;"",'Raw Data'!E603,IFERROR(INDEX('Reference Table'!$B$2:$B$32,MATCH(D603,'Reference Table'!$A$2:$A$32,0)),""))</f>
        <v>3200</v>
      </c>
      <c r="F603">
        <f>IF('Raw Data'!F603&lt;&gt;"",'Raw Data'!F603,IFERROR(ROUND('Raw Data'!G603/E603,0),""))</f>
        <v>5</v>
      </c>
      <c r="G603">
        <f>IF('Raw Data'!G603&lt;&gt;"",'Raw Data'!G603,IFERROR(ROUND(E603*F603,2),""))</f>
        <v>16000</v>
      </c>
      <c r="H603" t="str">
        <f>'Raw Data'!H603</f>
        <v>Debit Card</v>
      </c>
      <c r="I603" t="str">
        <f>IF('Raw Data'!D603="",IF(D603="Unknown","Could not recover","Filled from Price lookup"),IF(TRIM('Raw Data'!D603)&lt;&gt;'Raw Data'!D603,"Trimmed whitespace","OK"))</f>
        <v>OK</v>
      </c>
      <c r="J603" t="str">
        <f t="shared" si="9"/>
        <v>OK</v>
      </c>
    </row>
    <row r="604" spans="1:10">
      <c r="A604" t="str">
        <f>'Raw Data'!A604</f>
        <v>TXN_1506</v>
      </c>
      <c r="B604" s="1">
        <f>'Raw Data'!B604</f>
        <v>45881</v>
      </c>
      <c r="C604" t="str">
        <f>IFERROR(INDEX('Reference Table'!$C$2:$C$46,MATCH(D604,'Reference Table'!$A$2:$A$46,0)),"Unknown")</f>
        <v>Furniture</v>
      </c>
      <c r="D604" t="str">
        <f t="array" ref="D604">IF(TRIM('Raw Data'!D604)&lt;&gt;"",TRIM('Raw Data'!D604),IFERROR(INDEX('Reference Table'!$A$2:$A$46,MATCH(VALUE('Raw Data'!E604),VALUE('Reference Table'!$B$2:$B$46),0)),"Unknown"))</f>
        <v>Furn_Shelf</v>
      </c>
      <c r="E604">
        <f>IF('Raw Data'!E604&lt;&gt;"",'Raw Data'!E604,IFERROR(INDEX('Reference Table'!$B$2:$B$32,MATCH(D604,'Reference Table'!$A$2:$A$32,0)),""))</f>
        <v>1800</v>
      </c>
      <c r="F604">
        <f>IF('Raw Data'!F604&lt;&gt;"",'Raw Data'!F604,IFERROR(ROUND('Raw Data'!G604/E604,0),""))</f>
        <v>1</v>
      </c>
      <c r="G604">
        <f>IF('Raw Data'!G604&lt;&gt;"",'Raw Data'!G604,IFERROR(ROUND(E604*F604,2),""))</f>
        <v>1800</v>
      </c>
      <c r="H604" t="str">
        <f>'Raw Data'!H604</f>
        <v>Cash</v>
      </c>
      <c r="I604" t="str">
        <f>IF('Raw Data'!D604="",IF(D604="Unknown","Could not recover","Filled from Price lookup"),IF(TRIM('Raw Data'!D604)&lt;&gt;'Raw Data'!D604,"Trimmed whitespace","OK"))</f>
        <v>OK</v>
      </c>
      <c r="J604" t="str">
        <f t="shared" si="9"/>
        <v>OK</v>
      </c>
    </row>
    <row r="605" spans="1:10">
      <c r="A605" t="str">
        <f>'Raw Data'!A605</f>
        <v>TXN_1517</v>
      </c>
      <c r="B605" s="1">
        <f>'Raw Data'!B605</f>
        <v>45716</v>
      </c>
      <c r="C605" t="str">
        <f>IFERROR(INDEX('Reference Table'!$C$2:$C$46,MATCH(D605,'Reference Table'!$A$2:$A$46,0)),"Unknown")</f>
        <v>Milk Products</v>
      </c>
      <c r="D605" t="str">
        <f t="array" ref="D605">IF(TRIM('Raw Data'!D605)&lt;&gt;"",TRIM('Raw Data'!D605),IFERROR(INDEX('Reference Table'!$A$2:$A$46,MATCH(VALUE('Raw Data'!E605),VALUE('Reference Table'!$B$2:$B$46),0)),"Unknown"))</f>
        <v>Milk_Yogurt_400g</v>
      </c>
      <c r="E605">
        <f>IF('Raw Data'!E605&lt;&gt;"",'Raw Data'!E605,IFERROR(INDEX('Reference Table'!$B$2:$B$32,MATCH(D605,'Reference Table'!$A$2:$A$32,0)),""))</f>
        <v>60</v>
      </c>
      <c r="F605">
        <f>IF('Raw Data'!F605&lt;&gt;"",'Raw Data'!F605,IFERROR(ROUND('Raw Data'!G605/E605,0),""))</f>
        <v>3</v>
      </c>
      <c r="G605">
        <f>IF('Raw Data'!G605&lt;&gt;"",'Raw Data'!G605,IFERROR(ROUND(E605*F605,2),""))</f>
        <v>180</v>
      </c>
      <c r="H605" t="str">
        <f>'Raw Data'!H605</f>
        <v>Mobile Payment</v>
      </c>
      <c r="I605" t="str">
        <f>IF('Raw Data'!D605="",IF(D605="Unknown","Could not recover","Filled from Price lookup"),IF(TRIM('Raw Data'!D605)&lt;&gt;'Raw Data'!D605,"Trimmed whitespace","OK"))</f>
        <v>OK</v>
      </c>
      <c r="J605" t="str">
        <f t="shared" si="9"/>
        <v>OK</v>
      </c>
    </row>
    <row r="606" spans="1:10">
      <c r="A606" t="str">
        <f>'Raw Data'!A606</f>
        <v>TXN_1575</v>
      </c>
      <c r="B606" s="1">
        <f>'Raw Data'!B606</f>
        <v>45887</v>
      </c>
      <c r="C606" t="str">
        <f>IFERROR(INDEX('Reference Table'!$C$2:$C$46,MATCH(D606,'Reference Table'!$A$2:$A$46,0)),"Unknown")</f>
        <v>Butchers</v>
      </c>
      <c r="D606" t="str">
        <f t="array" ref="D606">IF(TRIM('Raw Data'!D606)&lt;&gt;"",TRIM('Raw Data'!D606),IFERROR(INDEX('Reference Table'!$A$2:$A$46,MATCH(VALUE('Raw Data'!E606),VALUE('Reference Table'!$B$2:$B$46),0)),"Unknown"))</f>
        <v>Meat_Eggs_Dozen</v>
      </c>
      <c r="E606">
        <f>IF('Raw Data'!E606&lt;&gt;"",'Raw Data'!E606,IFERROR(INDEX('Reference Table'!$B$2:$B$32,MATCH(D606,'Reference Table'!$A$2:$A$32,0)),""))</f>
        <v>75</v>
      </c>
      <c r="F606">
        <f>IF('Raw Data'!F606&lt;&gt;"",'Raw Data'!F606,IFERROR(ROUND('Raw Data'!G606/E606,0),""))</f>
        <v>6</v>
      </c>
      <c r="G606">
        <f>IF('Raw Data'!G606&lt;&gt;"",'Raw Data'!G606,IFERROR(ROUND(E606*F606,2),""))</f>
        <v>450</v>
      </c>
      <c r="H606" t="str">
        <f>'Raw Data'!H606</f>
        <v>Cash</v>
      </c>
      <c r="I606" t="str">
        <f>IF('Raw Data'!D606="",IF(D606="Unknown","Could not recover","Filled from Price lookup"),IF(TRIM('Raw Data'!D606)&lt;&gt;'Raw Data'!D606,"Trimmed whitespace","OK"))</f>
        <v>Filled from Price lookup</v>
      </c>
      <c r="J606" t="str">
        <f t="shared" si="9"/>
        <v>OK</v>
      </c>
    </row>
    <row r="607" spans="1:10">
      <c r="A607" t="str">
        <f>'Raw Data'!A607</f>
        <v>TXN_1393</v>
      </c>
      <c r="B607" s="1">
        <f>'Raw Data'!B607</f>
        <v>45735</v>
      </c>
      <c r="C607" t="str">
        <f>IFERROR(INDEX('Reference Table'!$C$2:$C$46,MATCH(D607,'Reference Table'!$A$2:$A$46,0)),"Unknown")</f>
        <v>Computers</v>
      </c>
      <c r="D607" t="str">
        <f t="array" ref="D607">IF(TRIM('Raw Data'!D607)&lt;&gt;"",TRIM('Raw Data'!D607),IFERROR(INDEX('Reference Table'!$A$2:$A$46,MATCH(VALUE('Raw Data'!E607),VALUE('Reference Table'!$B$2:$B$46),0)),"Unknown"))</f>
        <v>Comp_HDMI_Cable</v>
      </c>
      <c r="E607">
        <f>IF('Raw Data'!E607&lt;&gt;"",'Raw Data'!E607,IFERROR(INDEX('Reference Table'!$B$2:$B$32,MATCH(D607,'Reference Table'!$A$2:$A$32,0)),""))</f>
        <v>300</v>
      </c>
      <c r="F607">
        <f>IF('Raw Data'!F607&lt;&gt;"",'Raw Data'!F607,IFERROR(ROUND('Raw Data'!G607/E607,0),""))</f>
        <v>2</v>
      </c>
      <c r="G607">
        <f>IF('Raw Data'!G607&lt;&gt;"",'Raw Data'!G607,IFERROR(ROUND(E607*F607,2),""))</f>
        <v>600</v>
      </c>
      <c r="H607" t="str">
        <f>'Raw Data'!H607</f>
        <v>Credit Card</v>
      </c>
      <c r="I607" t="str">
        <f>IF('Raw Data'!D607="",IF(D607="Unknown","Could not recover","Filled from Price lookup"),IF(TRIM('Raw Data'!D607)&lt;&gt;'Raw Data'!D607,"Trimmed whitespace","OK"))</f>
        <v>OK</v>
      </c>
      <c r="J607" t="str">
        <f t="shared" si="9"/>
        <v>OK</v>
      </c>
    </row>
    <row r="608" spans="1:10">
      <c r="A608" t="str">
        <f>'Raw Data'!A608</f>
        <v>TXN_1199</v>
      </c>
      <c r="B608" s="1">
        <f>'Raw Data'!B608</f>
        <v>45745</v>
      </c>
      <c r="C608" t="str">
        <f>IFERROR(INDEX('Reference Table'!$C$2:$C$46,MATCH(D608,'Reference Table'!$A$2:$A$46,0)),"Unknown")</f>
        <v>Patisserie</v>
      </c>
      <c r="D608" t="str">
        <f t="array" ref="D608">IF(TRIM('Raw Data'!D608)&lt;&gt;"",TRIM('Raw Data'!D608),IFERROR(INDEX('Reference Table'!$A$2:$A$46,MATCH(VALUE('Raw Data'!E608),VALUE('Reference Table'!$B$2:$B$46),0)),"Unknown"))</f>
        <v>Pat_Donut</v>
      </c>
      <c r="E608">
        <f>IF('Raw Data'!E608&lt;&gt;"",'Raw Data'!E608,IFERROR(INDEX('Reference Table'!$B$2:$B$32,MATCH(D608,'Reference Table'!$A$2:$A$32,0)),""))</f>
        <v>30</v>
      </c>
      <c r="F608">
        <f>IF('Raw Data'!F608&lt;&gt;"",'Raw Data'!F608,IFERROR(ROUND('Raw Data'!G608/E608,0),""))</f>
        <v>4</v>
      </c>
      <c r="G608">
        <f>IF('Raw Data'!G608&lt;&gt;"",'Raw Data'!G608,IFERROR(ROUND(E608*F608,2),""))</f>
        <v>120</v>
      </c>
      <c r="H608" t="str">
        <f>'Raw Data'!H608</f>
        <v>Debit Card</v>
      </c>
      <c r="I608" t="str">
        <f>IF('Raw Data'!D608="",IF(D608="Unknown","Could not recover","Filled from Price lookup"),IF(TRIM('Raw Data'!D608)&lt;&gt;'Raw Data'!D608,"Trimmed whitespace","OK"))</f>
        <v>OK</v>
      </c>
      <c r="J608" t="str">
        <f t="shared" si="9"/>
        <v>OK</v>
      </c>
    </row>
    <row r="609" spans="1:10">
      <c r="A609" t="str">
        <f>'Raw Data'!A609</f>
        <v>TXN_1139</v>
      </c>
      <c r="B609" s="1">
        <f>'Raw Data'!B609</f>
        <v>45823</v>
      </c>
      <c r="C609" t="str">
        <f>IFERROR(INDEX('Reference Table'!$C$2:$C$46,MATCH(D609,'Reference Table'!$A$2:$A$46,0)),"Unknown")</f>
        <v>Patisserie</v>
      </c>
      <c r="D609" t="str">
        <f t="array" ref="D609">IF(TRIM('Raw Data'!D609)&lt;&gt;"",TRIM('Raw Data'!D609),IFERROR(INDEX('Reference Table'!$A$2:$A$46,MATCH(VALUE('Raw Data'!E609),VALUE('Reference Table'!$B$2:$B$46),0)),"Unknown"))</f>
        <v>Pat_Cake_Slice</v>
      </c>
      <c r="E609">
        <f>IF('Raw Data'!E609&lt;&gt;"",'Raw Data'!E609,IFERROR(INDEX('Reference Table'!$B$2:$B$32,MATCH(D609,'Reference Table'!$A$2:$A$32,0)),""))</f>
        <v>90</v>
      </c>
      <c r="F609">
        <f>IF('Raw Data'!F609&lt;&gt;"",'Raw Data'!F609,IFERROR(ROUND('Raw Data'!G609/E609,0),""))</f>
        <v>5</v>
      </c>
      <c r="G609">
        <f>IF('Raw Data'!G609&lt;&gt;"",'Raw Data'!G609,IFERROR(ROUND(E609*F609,2),""))</f>
        <v>450</v>
      </c>
      <c r="H609" t="str">
        <f>'Raw Data'!H609</f>
        <v>Debit Card</v>
      </c>
      <c r="I609" t="str">
        <f>IF('Raw Data'!D609="",IF(D609="Unknown","Could not recover","Filled from Price lookup"),IF(TRIM('Raw Data'!D609)&lt;&gt;'Raw Data'!D609,"Trimmed whitespace","OK"))</f>
        <v>Filled from Price lookup</v>
      </c>
      <c r="J609" t="str">
        <f t="shared" si="9"/>
        <v>OK</v>
      </c>
    </row>
    <row r="610" spans="1:10">
      <c r="A610" t="str">
        <f>'Raw Data'!A610</f>
        <v>TXN_1496</v>
      </c>
      <c r="B610" s="1">
        <f>'Raw Data'!B610</f>
        <v>45763</v>
      </c>
      <c r="C610" t="str">
        <f>IFERROR(INDEX('Reference Table'!$C$2:$C$46,MATCH(D610,'Reference Table'!$A$2:$A$46,0)),"Unknown")</f>
        <v>Computers</v>
      </c>
      <c r="D610" t="str">
        <f t="array" ref="D610">IF(TRIM('Raw Data'!D610)&lt;&gt;"",TRIM('Raw Data'!D610),IFERROR(INDEX('Reference Table'!$A$2:$A$46,MATCH(VALUE('Raw Data'!E610),VALUE('Reference Table'!$B$2:$B$46),0)),"Unknown"))</f>
        <v>Comp_HDMI_Cable</v>
      </c>
      <c r="E610">
        <f>IF('Raw Data'!E610&lt;&gt;"",'Raw Data'!E610,IFERROR(INDEX('Reference Table'!$B$2:$B$32,MATCH(D610,'Reference Table'!$A$2:$A$32,0)),""))</f>
        <v>300</v>
      </c>
      <c r="F610">
        <f>IF('Raw Data'!F610&lt;&gt;"",'Raw Data'!F610,IFERROR(ROUND('Raw Data'!G610/E610,0),""))</f>
        <v>2</v>
      </c>
      <c r="G610">
        <f>IF('Raw Data'!G610&lt;&gt;"",'Raw Data'!G610,IFERROR(ROUND(E610*F610,2),""))</f>
        <v>600</v>
      </c>
      <c r="H610" t="str">
        <f>'Raw Data'!H610</f>
        <v>Debit Card</v>
      </c>
      <c r="I610" t="str">
        <f>IF('Raw Data'!D610="",IF(D610="Unknown","Could not recover","Filled from Price lookup"),IF(TRIM('Raw Data'!D610)&lt;&gt;'Raw Data'!D610,"Trimmed whitespace","OK"))</f>
        <v>OK</v>
      </c>
      <c r="J610" t="str">
        <f t="shared" si="9"/>
        <v>OK</v>
      </c>
    </row>
    <row r="611" spans="1:10">
      <c r="A611" t="str">
        <f>'Raw Data'!A611</f>
        <v>TXN_1009</v>
      </c>
      <c r="B611" s="1">
        <f>'Raw Data'!B611</f>
        <v>45799</v>
      </c>
      <c r="C611" t="str">
        <f>IFERROR(INDEX('Reference Table'!$C$2:$C$46,MATCH(D611,'Reference Table'!$A$2:$A$46,0)),"Unknown")</f>
        <v>Butchers</v>
      </c>
      <c r="D611" t="str">
        <f t="array" ref="D611">IF(TRIM('Raw Data'!D611)&lt;&gt;"",TRIM('Raw Data'!D611),IFERROR(INDEX('Reference Table'!$A$2:$A$46,MATCH(VALUE('Raw Data'!E611),VALUE('Reference Table'!$B$2:$B$46),0)),"Unknown"))</f>
        <v>Meat_Bacon_250g</v>
      </c>
      <c r="E611">
        <f>IF('Raw Data'!E611&lt;&gt;"",'Raw Data'!E611,IFERROR(INDEX('Reference Table'!$B$2:$B$32,MATCH(D611,'Reference Table'!$A$2:$A$32,0)),""))</f>
        <v>190</v>
      </c>
      <c r="F611">
        <f>IF('Raw Data'!F611&lt;&gt;"",'Raw Data'!F611,IFERROR(ROUND('Raw Data'!G611/E611,0),""))</f>
        <v>1</v>
      </c>
      <c r="G611">
        <f>IF('Raw Data'!G611&lt;&gt;"",'Raw Data'!G611,IFERROR(ROUND(E611*F611,2),""))</f>
        <v>190</v>
      </c>
      <c r="H611" t="str">
        <f>'Raw Data'!H611</f>
        <v>Debit Card</v>
      </c>
      <c r="I611" t="str">
        <f>IF('Raw Data'!D611="",IF(D611="Unknown","Could not recover","Filled from Price lookup"),IF(TRIM('Raw Data'!D611)&lt;&gt;'Raw Data'!D611,"Trimmed whitespace","OK"))</f>
        <v>OK</v>
      </c>
      <c r="J611" t="str">
        <f t="shared" si="9"/>
        <v>OK</v>
      </c>
    </row>
    <row r="612" spans="1:10">
      <c r="A612" t="str">
        <f>'Raw Data'!A612</f>
        <v>TXN_1367</v>
      </c>
      <c r="B612" s="1">
        <f>'Raw Data'!B612</f>
        <v>45678</v>
      </c>
      <c r="C612" t="str">
        <f>IFERROR(INDEX('Reference Table'!$C$2:$C$46,MATCH(D612,'Reference Table'!$A$2:$A$46,0)),"Unknown")</f>
        <v>Butchers</v>
      </c>
      <c r="D612" t="str">
        <f t="array" ref="D612">IF(TRIM('Raw Data'!D612)&lt;&gt;"",TRIM('Raw Data'!D612),IFERROR(INDEX('Reference Table'!$A$2:$A$46,MATCH(VALUE('Raw Data'!E612),VALUE('Reference Table'!$B$2:$B$46),0)),"Unknown"))</f>
        <v>Meat_Chicken_1kg</v>
      </c>
      <c r="E612">
        <f>IF('Raw Data'!E612&lt;&gt;"",'Raw Data'!E612,IFERROR(INDEX('Reference Table'!$B$2:$B$32,MATCH(D612,'Reference Table'!$A$2:$A$32,0)),""))</f>
        <v>220</v>
      </c>
      <c r="F612">
        <f>IF('Raw Data'!F612&lt;&gt;"",'Raw Data'!F612,IFERROR(ROUND('Raw Data'!G612/E612,0),""))</f>
        <v>1</v>
      </c>
      <c r="G612">
        <f>IF('Raw Data'!G612&lt;&gt;"",'Raw Data'!G612,IFERROR(ROUND(E612*F612,2),""))</f>
        <v>220</v>
      </c>
      <c r="H612" t="str">
        <f>'Raw Data'!H612</f>
        <v>Debit Card</v>
      </c>
      <c r="I612" t="str">
        <f>IF('Raw Data'!D612="",IF(D612="Unknown","Could not recover","Filled from Price lookup"),IF(TRIM('Raw Data'!D612)&lt;&gt;'Raw Data'!D612,"Trimmed whitespace","OK"))</f>
        <v>OK</v>
      </c>
      <c r="J612" t="str">
        <f t="shared" si="9"/>
        <v>OK</v>
      </c>
    </row>
    <row r="613" spans="1:10">
      <c r="A613" t="str">
        <f>'Raw Data'!A613</f>
        <v>TXN_1054</v>
      </c>
      <c r="B613" s="1">
        <f>'Raw Data'!B613</f>
        <v>45658</v>
      </c>
      <c r="C613" t="str">
        <f>IFERROR(INDEX('Reference Table'!$C$2:$C$46,MATCH(D613,'Reference Table'!$A$2:$A$46,0)),"Unknown")</f>
        <v>Milk Products</v>
      </c>
      <c r="D613" t="str">
        <f t="array" ref="D613">IF(TRIM('Raw Data'!D613)&lt;&gt;"",TRIM('Raw Data'!D613),IFERROR(INDEX('Reference Table'!$A$2:$A$46,MATCH(VALUE('Raw Data'!E613),VALUE('Reference Table'!$B$2:$B$46),0)),"Unknown"))</f>
        <v>Milk_Cheese_200g</v>
      </c>
      <c r="E613">
        <f>IF('Raw Data'!E613&lt;&gt;"",'Raw Data'!E613,IFERROR(INDEX('Reference Table'!$B$2:$B$32,MATCH(D613,'Reference Table'!$A$2:$A$32,0)),""))</f>
        <v>110</v>
      </c>
      <c r="F613">
        <f>IF('Raw Data'!F613&lt;&gt;"",'Raw Data'!F613,IFERROR(ROUND('Raw Data'!G613/E613,0),""))</f>
        <v>4</v>
      </c>
      <c r="G613">
        <f>IF('Raw Data'!G613&lt;&gt;"",'Raw Data'!G613,IFERROR(ROUND(E613*F613,2),""))</f>
        <v>440</v>
      </c>
      <c r="H613" t="str">
        <f>'Raw Data'!H613</f>
        <v>Mobile Payment</v>
      </c>
      <c r="I613" t="str">
        <f>IF('Raw Data'!D613="",IF(D613="Unknown","Could not recover","Filled from Price lookup"),IF(TRIM('Raw Data'!D613)&lt;&gt;'Raw Data'!D613,"Trimmed whitespace","OK"))</f>
        <v>OK</v>
      </c>
      <c r="J613" t="str">
        <f t="shared" si="9"/>
        <v>OK</v>
      </c>
    </row>
    <row r="614" spans="1:10">
      <c r="A614" t="str">
        <f>'Raw Data'!A614</f>
        <v>TXN_1461</v>
      </c>
      <c r="B614" s="1">
        <f>'Raw Data'!B614</f>
        <v>45803</v>
      </c>
      <c r="C614" t="str">
        <f>IFERROR(INDEX('Reference Table'!$C$2:$C$46,MATCH(D614,'Reference Table'!$A$2:$A$46,0)),"Unknown")</f>
        <v>Butchers</v>
      </c>
      <c r="D614" t="str">
        <f t="array" ref="D614">IF(TRIM('Raw Data'!D614)&lt;&gt;"",TRIM('Raw Data'!D614),IFERROR(INDEX('Reference Table'!$A$2:$A$46,MATCH(VALUE('Raw Data'!E614),VALUE('Reference Table'!$B$2:$B$46),0)),"Unknown"))</f>
        <v>Meat_Mutton_1kg</v>
      </c>
      <c r="E614" t="str">
        <f>IF('Raw Data'!E614&lt;&gt;"",'Raw Data'!E614,IFERROR(INDEX('Reference Table'!$B$2:$B$32,MATCH(D614,'Reference Table'!$A$2:$A$32,0)),""))</f>
        <v/>
      </c>
      <c r="F614">
        <f>IF('Raw Data'!F614&lt;&gt;"",'Raw Data'!F614,IFERROR(ROUND('Raw Data'!G614/E614,0),""))</f>
        <v>3</v>
      </c>
      <c r="G614">
        <f>IF('Raw Data'!G614&lt;&gt;"",'Raw Data'!G614,IFERROR(ROUND(E614*F614,2),""))</f>
        <v>1950</v>
      </c>
      <c r="H614" t="str">
        <f>'Raw Data'!H614</f>
        <v>Credit Card</v>
      </c>
      <c r="I614" t="str">
        <f>IF('Raw Data'!D614="",IF(D614="Unknown","Could not recover","Filled from Price lookup"),IF(TRIM('Raw Data'!D614)&lt;&gt;'Raw Data'!D614,"Trimmed whitespace","OK"))</f>
        <v>OK</v>
      </c>
      <c r="J614" t="str">
        <f t="shared" si="9"/>
        <v>Incomplete</v>
      </c>
    </row>
    <row r="615" spans="1:10">
      <c r="A615" t="str">
        <f>'Raw Data'!A615</f>
        <v>TXN_1322</v>
      </c>
      <c r="B615" s="1">
        <f>'Raw Data'!B615</f>
        <v>45750</v>
      </c>
      <c r="C615" t="str">
        <f>IFERROR(INDEX('Reference Table'!$C$2:$C$46,MATCH(D615,'Reference Table'!$A$2:$A$46,0)),"Unknown")</f>
        <v>Electric Accessories</v>
      </c>
      <c r="D615" t="str">
        <f t="array" ref="D615">IF(TRIM('Raw Data'!D615)&lt;&gt;"",TRIM('Raw Data'!D615),IFERROR(INDEX('Reference Table'!$A$2:$A$46,MATCH(VALUE('Raw Data'!E615),VALUE('Reference Table'!$B$2:$B$46),0)),"Unknown"))</f>
        <v>Elec_Earphones</v>
      </c>
      <c r="E615">
        <f>IF('Raw Data'!E615&lt;&gt;"",'Raw Data'!E615,IFERROR(INDEX('Reference Table'!$B$2:$B$32,MATCH(D615,'Reference Table'!$A$2:$A$32,0)),""))</f>
        <v>350</v>
      </c>
      <c r="F615">
        <f>IF('Raw Data'!F615&lt;&gt;"",'Raw Data'!F615,IFERROR(ROUND('Raw Data'!G615/E615,0),""))</f>
        <v>5</v>
      </c>
      <c r="G615">
        <f>IF('Raw Data'!G615&lt;&gt;"",'Raw Data'!G615,IFERROR(ROUND(E615*F615,2),""))</f>
        <v>2625</v>
      </c>
      <c r="H615" t="str">
        <f>'Raw Data'!H615</f>
        <v>Cash</v>
      </c>
      <c r="I615" t="str">
        <f>IF('Raw Data'!D615="",IF(D615="Unknown","Could not recover","Filled from Price lookup"),IF(TRIM('Raw Data'!D615)&lt;&gt;'Raw Data'!D615,"Trimmed whitespace","OK"))</f>
        <v>OK</v>
      </c>
      <c r="J615" t="str">
        <f t="shared" si="9"/>
        <v>Mismatch</v>
      </c>
    </row>
    <row r="616" spans="1:10">
      <c r="A616" t="str">
        <f>'Raw Data'!A616</f>
        <v>TXN_1191</v>
      </c>
      <c r="B616" s="1">
        <f>'Raw Data'!B616</f>
        <v>45726</v>
      </c>
      <c r="C616" t="str">
        <f>IFERROR(INDEX('Reference Table'!$C$2:$C$46,MATCH(D616,'Reference Table'!$A$2:$A$46,0)),"Unknown")</f>
        <v>Beverages</v>
      </c>
      <c r="D616" t="str">
        <f t="array" ref="D616">IF(TRIM('Raw Data'!D616)&lt;&gt;"",TRIM('Raw Data'!D616),IFERROR(INDEX('Reference Table'!$A$2:$A$46,MATCH(VALUE('Raw Data'!E616),VALUE('Reference Table'!$B$2:$B$46),0)),"Unknown"))</f>
        <v>Bev_Coffee_200g</v>
      </c>
      <c r="E616">
        <f>IF('Raw Data'!E616&lt;&gt;"",'Raw Data'!E616,IFERROR(INDEX('Reference Table'!$B$2:$B$32,MATCH(D616,'Reference Table'!$A$2:$A$32,0)),""))</f>
        <v>180</v>
      </c>
      <c r="F616">
        <f>IF('Raw Data'!F616&lt;&gt;"",'Raw Data'!F616,IFERROR(ROUND('Raw Data'!G616/E616,0),""))</f>
        <v>2</v>
      </c>
      <c r="G616">
        <f>IF('Raw Data'!G616&lt;&gt;"",'Raw Data'!G616,IFERROR(ROUND(E616*F616,2),""))</f>
        <v>360</v>
      </c>
      <c r="H616" t="str">
        <f>'Raw Data'!H616</f>
        <v>Credit Card</v>
      </c>
      <c r="I616" t="str">
        <f>IF('Raw Data'!D616="",IF(D616="Unknown","Could not recover","Filled from Price lookup"),IF(TRIM('Raw Data'!D616)&lt;&gt;'Raw Data'!D616,"Trimmed whitespace","OK"))</f>
        <v>OK</v>
      </c>
      <c r="J616" t="str">
        <f t="shared" si="9"/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Reference Table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swatipragyan samal</dc:creator>
  <cp:lastModifiedBy>swatipragyan samal</cp:lastModifiedBy>
  <dcterms:created xsi:type="dcterms:W3CDTF">2026-09-02T04:43:57Z</dcterms:created>
  <dcterms:modified xsi:type="dcterms:W3CDTF">2026-09-08T04:52:54Z</dcterms:modified>
</cp:coreProperties>
</file>